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hsug\LLM_on_RuleBase_PSI_V0R0M1_260130\data\phone_v0\"/>
    </mc:Choice>
  </mc:AlternateContent>
  <xr:revisionPtr revIDLastSave="0" documentId="13_ncr:9_{7FA5954E-32BD-4379-B603-FA3EC09E07CE}" xr6:coauthVersionLast="47" xr6:coauthVersionMax="47" xr10:uidLastSave="{00000000-0000-0000-0000-000000000000}"/>
  <bookViews>
    <workbookView xWindow="-108" yWindow="-108" windowWidth="23256" windowHeight="12456" xr2:uid="{38EBC373-C060-4F7B-871F-F51E1734E0A3}"/>
  </bookViews>
  <sheets>
    <sheet name="PSI_Image" sheetId="10" r:id="rId1"/>
    <sheet name="virtual_node_timeseries_Price" sheetId="9" r:id="rId2"/>
    <sheet name="virtual_node_timeseries_Pur_C" sheetId="8" r:id="rId3"/>
    <sheet name="virtual_node_timeseries_Pro_C" sheetId="4" r:id="rId4"/>
    <sheet name="virtual_node_timeseries_I" sheetId="7" r:id="rId5"/>
    <sheet name="virtual_node_timeseries_P" sheetId="6" r:id="rId6"/>
    <sheet name="virtual_node_timeseries_S" sheetId="5" r:id="rId7"/>
    <sheet name="virtual_node_timeseries_PSI" sheetId="3" r:id="rId8"/>
    <sheet name="virtual_node_timeseries_money_r" sheetId="1" r:id="rId9"/>
    <sheet name="virtual_node_timeseries_cost" sheetId="2" r:id="rId10"/>
  </sheets>
  <definedNames>
    <definedName name="_xlnm._FilterDatabase" localSheetId="9" hidden="1">virtual_node_timeseries_cost!$A$1:$D$55</definedName>
    <definedName name="_xlnm._FilterDatabase" localSheetId="8" hidden="1">virtual_node_timeseries_money_r!$A$1:$D$93</definedName>
    <definedName name="_xlnm._FilterDatabase" localSheetId="7" hidden="1">virtual_node_timeseries_PSI!$A$1:$D$38</definedName>
  </definedNames>
  <calcPr calcId="0"/>
</workbook>
</file>

<file path=xl/calcChain.xml><?xml version="1.0" encoding="utf-8"?>
<calcChain xmlns="http://schemas.openxmlformats.org/spreadsheetml/2006/main">
  <c r="G28" i="10" l="1"/>
  <c r="F28" i="10"/>
  <c r="E28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E7" i="10"/>
  <c r="E26" i="10" s="1"/>
  <c r="E14" i="10"/>
  <c r="F14" i="10" s="1"/>
  <c r="G14" i="10" s="1"/>
  <c r="H14" i="10" s="1"/>
  <c r="I14" i="10" s="1"/>
  <c r="J14" i="10" s="1"/>
  <c r="K14" i="10" s="1"/>
  <c r="L14" i="10" s="1"/>
  <c r="M14" i="10" s="1"/>
  <c r="N14" i="10" s="1"/>
  <c r="O14" i="10" s="1"/>
  <c r="P14" i="10" s="1"/>
  <c r="Q14" i="10" s="1"/>
  <c r="R14" i="10" s="1"/>
  <c r="S14" i="10" s="1"/>
  <c r="T14" i="10" s="1"/>
  <c r="T15" i="10" s="1"/>
  <c r="E12" i="10"/>
  <c r="F12" i="10" s="1"/>
  <c r="G12" i="10" s="1"/>
  <c r="H12" i="10" s="1"/>
  <c r="I12" i="10" s="1"/>
  <c r="J12" i="10" s="1"/>
  <c r="K12" i="10" s="1"/>
  <c r="L12" i="10" s="1"/>
  <c r="M12" i="10" s="1"/>
  <c r="N12" i="10" s="1"/>
  <c r="O12" i="10" s="1"/>
  <c r="P12" i="10" s="1"/>
  <c r="Q12" i="10" s="1"/>
  <c r="R12" i="10" s="1"/>
  <c r="S12" i="10" s="1"/>
  <c r="T12" i="10" s="1"/>
  <c r="U12" i="10" s="1"/>
  <c r="V12" i="10" s="1"/>
  <c r="E8" i="10"/>
  <c r="E9" i="10" s="1"/>
  <c r="F8" i="10" s="1"/>
  <c r="F9" i="10" s="1"/>
  <c r="F7" i="10" l="1"/>
  <c r="E25" i="10"/>
  <c r="E15" i="10"/>
  <c r="G8" i="10"/>
  <c r="G9" i="10" s="1"/>
  <c r="N15" i="10"/>
  <c r="Q15" i="10"/>
  <c r="R15" i="10"/>
  <c r="I15" i="10"/>
  <c r="S15" i="10"/>
  <c r="J15" i="10"/>
  <c r="F15" i="10"/>
  <c r="K15" i="10"/>
  <c r="M15" i="10"/>
  <c r="L15" i="10"/>
  <c r="G15" i="10"/>
  <c r="O15" i="10"/>
  <c r="H15" i="10"/>
  <c r="P15" i="10"/>
  <c r="F26" i="10" l="1"/>
  <c r="F25" i="10"/>
  <c r="G7" i="10"/>
  <c r="H8" i="10"/>
  <c r="H7" i="10" s="1"/>
  <c r="H9" i="10"/>
  <c r="H25" i="10" l="1"/>
  <c r="H26" i="10"/>
  <c r="G26" i="10"/>
  <c r="G25" i="10"/>
  <c r="I8" i="10"/>
  <c r="I9" i="10" s="1"/>
  <c r="H28" i="10" l="1"/>
  <c r="I7" i="10"/>
  <c r="J8" i="10"/>
  <c r="J9" i="10" s="1"/>
  <c r="I25" i="10" l="1"/>
  <c r="I26" i="10"/>
  <c r="J7" i="10"/>
  <c r="K8" i="10"/>
  <c r="K9" i="10" s="1"/>
  <c r="I28" i="10" l="1"/>
  <c r="J25" i="10"/>
  <c r="J26" i="10"/>
  <c r="K7" i="10"/>
  <c r="L8" i="10"/>
  <c r="L9" i="10" s="1"/>
  <c r="J28" i="10" l="1"/>
  <c r="K25" i="10"/>
  <c r="K26" i="10"/>
  <c r="L7" i="10"/>
  <c r="M8" i="10"/>
  <c r="M9" i="10" s="1"/>
  <c r="K28" i="10" l="1"/>
  <c r="L26" i="10"/>
  <c r="L25" i="10"/>
  <c r="L28" i="10" s="1"/>
  <c r="M7" i="10"/>
  <c r="N8" i="10"/>
  <c r="N9" i="10" s="1"/>
  <c r="M26" i="10" l="1"/>
  <c r="M25" i="10"/>
  <c r="M28" i="10" s="1"/>
  <c r="N7" i="10"/>
  <c r="O8" i="10"/>
  <c r="O9" i="10" s="1"/>
  <c r="N26" i="10" l="1"/>
  <c r="N25" i="10"/>
  <c r="N28" i="10" s="1"/>
  <c r="O7" i="10"/>
  <c r="P8" i="10"/>
  <c r="P9" i="10" s="1"/>
  <c r="O26" i="10" l="1"/>
  <c r="O25" i="10"/>
  <c r="O28" i="10" s="1"/>
  <c r="P7" i="10"/>
  <c r="Q8" i="10"/>
  <c r="Q9" i="10" s="1"/>
  <c r="P25" i="10" l="1"/>
  <c r="P26" i="10"/>
  <c r="Q7" i="10"/>
  <c r="R8" i="10"/>
  <c r="R7" i="10" s="1"/>
  <c r="P28" i="10" l="1"/>
  <c r="R25" i="10"/>
  <c r="R26" i="10"/>
  <c r="Q25" i="10"/>
  <c r="Q26" i="10"/>
  <c r="R9" i="10"/>
  <c r="S8" i="10" s="1"/>
  <c r="S7" i="10" s="1"/>
  <c r="Q28" i="10" l="1"/>
  <c r="R28" i="10"/>
  <c r="S26" i="10"/>
  <c r="S25" i="10"/>
  <c r="S28" i="10" s="1"/>
  <c r="S9" i="10"/>
  <c r="T8" i="10" s="1"/>
  <c r="T9" i="10" s="1"/>
  <c r="T7" i="10" l="1"/>
  <c r="U8" i="10"/>
  <c r="U9" i="10" s="1"/>
  <c r="T26" i="10" l="1"/>
  <c r="T25" i="10"/>
  <c r="T28" i="10" s="1"/>
  <c r="U7" i="10"/>
  <c r="V8" i="10"/>
  <c r="V7" i="10" s="1"/>
  <c r="V26" i="10" l="1"/>
  <c r="V25" i="10"/>
  <c r="V28" i="10" s="1"/>
  <c r="U14" i="10"/>
  <c r="U15" i="10" s="1"/>
  <c r="U26" i="10"/>
  <c r="U25" i="10"/>
  <c r="V14" i="10"/>
  <c r="V15" i="10" s="1"/>
  <c r="V9" i="10"/>
  <c r="W8" i="10" s="1"/>
  <c r="W9" i="10" s="1"/>
  <c r="U28" i="10" l="1"/>
  <c r="W7" i="10"/>
</calcChain>
</file>

<file path=xl/sharedStrings.xml><?xml version="1.0" encoding="utf-8"?>
<sst xmlns="http://schemas.openxmlformats.org/spreadsheetml/2006/main" count="609" uniqueCount="28">
  <si>
    <t>month</t>
  </si>
  <si>
    <t>node_name</t>
  </si>
  <si>
    <t>item</t>
  </si>
  <si>
    <t>value</t>
  </si>
  <si>
    <t>VIRTUAL_NODE</t>
  </si>
  <si>
    <t>demand</t>
  </si>
  <si>
    <t>initial_inventory</t>
  </si>
  <si>
    <t>process_cost</t>
  </si>
  <si>
    <t>production</t>
  </si>
  <si>
    <t>purchase_cost</t>
  </si>
  <si>
    <t>sell_price</t>
  </si>
  <si>
    <t>S</t>
    <phoneticPr fontId="18"/>
  </si>
  <si>
    <t>CO</t>
    <phoneticPr fontId="18"/>
  </si>
  <si>
    <t>I</t>
    <phoneticPr fontId="18"/>
  </si>
  <si>
    <t>P</t>
    <phoneticPr fontId="18"/>
  </si>
  <si>
    <t>S_actual</t>
    <phoneticPr fontId="18"/>
  </si>
  <si>
    <t>S_accume</t>
    <phoneticPr fontId="18"/>
  </si>
  <si>
    <t>P_accume</t>
    <phoneticPr fontId="18"/>
  </si>
  <si>
    <t>Supply_Accume</t>
    <phoneticPr fontId="18"/>
  </si>
  <si>
    <t>Price</t>
    <phoneticPr fontId="18"/>
  </si>
  <si>
    <t>Process_Cost</t>
    <phoneticPr fontId="18"/>
  </si>
  <si>
    <t>Purchase_Cost</t>
    <phoneticPr fontId="18"/>
  </si>
  <si>
    <t>Revenue</t>
    <phoneticPr fontId="18"/>
  </si>
  <si>
    <t>by UNIT</t>
    <phoneticPr fontId="18"/>
  </si>
  <si>
    <t>Ship_Qty X Price</t>
    <phoneticPr fontId="18"/>
  </si>
  <si>
    <t>Ship_Qty X Process_Cost</t>
    <phoneticPr fontId="18"/>
  </si>
  <si>
    <t>Purchase_Qty X Purchase_Cost</t>
    <phoneticPr fontId="18"/>
  </si>
  <si>
    <t>Profit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</si>
</sst>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yyyy&quot;年&quot;m&quot;月&quot;;@"/>
    <numFmt numFmtId="182" formatCode="yyyy\-mm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80" fontId="0" fillId="0" borderId="0" xfId="0" applyNumberFormat="1">
      <alignment vertical="center"/>
    </xf>
    <xf numFmtId="182" fontId="0" fillId="0" borderId="0" xfId="0" applyNumberFormat="1">
      <alignment vertical="center"/>
    </xf>
    <xf numFmtId="0" fontId="19" fillId="33" borderId="0" xfId="0" applyFont="1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  <xf numFmtId="38" fontId="0" fillId="0" borderId="0" xfId="1" applyFont="1">
      <alignment vertical="center"/>
    </xf>
    <xf numFmtId="38" fontId="0" fillId="0" borderId="0" xfId="0" applyNumberFormat="1">
      <alignment vertical="center"/>
    </xf>
  </cellXfs>
  <cellStyles count="43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one node monthly PSI 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PSI_Image!$C$8</c:f>
              <c:strCache>
                <c:ptCount val="1"/>
                <c:pt idx="0">
                  <c:v>CO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PSI_Image!$D$5:$V$5</c:f>
              <c:numCache>
                <c:formatCode>yyyy\-mm</c:formatCode>
                <c:ptCount val="19"/>
                <c:pt idx="0">
                  <c:v>45992</c:v>
                </c:pt>
                <c:pt idx="1">
                  <c:v>46048</c:v>
                </c:pt>
                <c:pt idx="2">
                  <c:v>46079</c:v>
                </c:pt>
                <c:pt idx="3">
                  <c:v>46107</c:v>
                </c:pt>
                <c:pt idx="4">
                  <c:v>46137</c:v>
                </c:pt>
                <c:pt idx="5">
                  <c:v>46167</c:v>
                </c:pt>
                <c:pt idx="6">
                  <c:v>46198</c:v>
                </c:pt>
                <c:pt idx="7">
                  <c:v>46228</c:v>
                </c:pt>
                <c:pt idx="8">
                  <c:v>46259</c:v>
                </c:pt>
                <c:pt idx="9">
                  <c:v>46290</c:v>
                </c:pt>
                <c:pt idx="10">
                  <c:v>46320</c:v>
                </c:pt>
                <c:pt idx="11">
                  <c:v>46351</c:v>
                </c:pt>
                <c:pt idx="12">
                  <c:v>46381</c:v>
                </c:pt>
                <c:pt idx="13">
                  <c:v>46412</c:v>
                </c:pt>
                <c:pt idx="14">
                  <c:v>46443</c:v>
                </c:pt>
                <c:pt idx="15">
                  <c:v>46471</c:v>
                </c:pt>
                <c:pt idx="16">
                  <c:v>46503</c:v>
                </c:pt>
                <c:pt idx="17">
                  <c:v>46533</c:v>
                </c:pt>
                <c:pt idx="18">
                  <c:v>46564</c:v>
                </c:pt>
              </c:numCache>
            </c:numRef>
          </c:cat>
          <c:val>
            <c:numRef>
              <c:f>PSI_Image!$D$8:$V$8</c:f>
              <c:numCache>
                <c:formatCode>General</c:formatCode>
                <c:ptCount val="1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01-4F25-82F0-83D06CD73023}"/>
            </c:ext>
          </c:extLst>
        </c:ser>
        <c:ser>
          <c:idx val="3"/>
          <c:order val="3"/>
          <c:tx>
            <c:strRef>
              <c:f>PSI_Image!$C$9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PSI_Image!$D$5:$V$5</c:f>
              <c:numCache>
                <c:formatCode>yyyy\-mm</c:formatCode>
                <c:ptCount val="19"/>
                <c:pt idx="0">
                  <c:v>45992</c:v>
                </c:pt>
                <c:pt idx="1">
                  <c:v>46048</c:v>
                </c:pt>
                <c:pt idx="2">
                  <c:v>46079</c:v>
                </c:pt>
                <c:pt idx="3">
                  <c:v>46107</c:v>
                </c:pt>
                <c:pt idx="4">
                  <c:v>46137</c:v>
                </c:pt>
                <c:pt idx="5">
                  <c:v>46167</c:v>
                </c:pt>
                <c:pt idx="6">
                  <c:v>46198</c:v>
                </c:pt>
                <c:pt idx="7">
                  <c:v>46228</c:v>
                </c:pt>
                <c:pt idx="8">
                  <c:v>46259</c:v>
                </c:pt>
                <c:pt idx="9">
                  <c:v>46290</c:v>
                </c:pt>
                <c:pt idx="10">
                  <c:v>46320</c:v>
                </c:pt>
                <c:pt idx="11">
                  <c:v>46351</c:v>
                </c:pt>
                <c:pt idx="12">
                  <c:v>46381</c:v>
                </c:pt>
                <c:pt idx="13">
                  <c:v>46412</c:v>
                </c:pt>
                <c:pt idx="14">
                  <c:v>46443</c:v>
                </c:pt>
                <c:pt idx="15">
                  <c:v>46471</c:v>
                </c:pt>
                <c:pt idx="16">
                  <c:v>46503</c:v>
                </c:pt>
                <c:pt idx="17">
                  <c:v>46533</c:v>
                </c:pt>
                <c:pt idx="18">
                  <c:v>46564</c:v>
                </c:pt>
              </c:numCache>
            </c:numRef>
          </c:cat>
          <c:val>
            <c:numRef>
              <c:f>PSI_Image!$D$9:$V$9</c:f>
              <c:numCache>
                <c:formatCode>General</c:formatCode>
                <c:ptCount val="19"/>
                <c:pt idx="0">
                  <c:v>50</c:v>
                </c:pt>
                <c:pt idx="1">
                  <c:v>150</c:v>
                </c:pt>
                <c:pt idx="2">
                  <c:v>250</c:v>
                </c:pt>
                <c:pt idx="3">
                  <c:v>350</c:v>
                </c:pt>
                <c:pt idx="4">
                  <c:v>450</c:v>
                </c:pt>
                <c:pt idx="5">
                  <c:v>550</c:v>
                </c:pt>
                <c:pt idx="6">
                  <c:v>690</c:v>
                </c:pt>
                <c:pt idx="7">
                  <c:v>850</c:v>
                </c:pt>
                <c:pt idx="8">
                  <c:v>970</c:v>
                </c:pt>
                <c:pt idx="9">
                  <c:v>1030</c:v>
                </c:pt>
                <c:pt idx="10">
                  <c:v>1020</c:v>
                </c:pt>
                <c:pt idx="11">
                  <c:v>930</c:v>
                </c:pt>
                <c:pt idx="12">
                  <c:v>860</c:v>
                </c:pt>
                <c:pt idx="13">
                  <c:v>610</c:v>
                </c:pt>
                <c:pt idx="14">
                  <c:v>400</c:v>
                </c:pt>
                <c:pt idx="15">
                  <c:v>230</c:v>
                </c:pt>
                <c:pt idx="16">
                  <c:v>100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01-4F25-82F0-83D06CD73023}"/>
            </c:ext>
          </c:extLst>
        </c:ser>
        <c:ser>
          <c:idx val="4"/>
          <c:order val="4"/>
          <c:tx>
            <c:strRef>
              <c:f>PSI_Image!$C$10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PSI_Image!$D$5:$V$5</c:f>
              <c:numCache>
                <c:formatCode>yyyy\-mm</c:formatCode>
                <c:ptCount val="19"/>
                <c:pt idx="0">
                  <c:v>45992</c:v>
                </c:pt>
                <c:pt idx="1">
                  <c:v>46048</c:v>
                </c:pt>
                <c:pt idx="2">
                  <c:v>46079</c:v>
                </c:pt>
                <c:pt idx="3">
                  <c:v>46107</c:v>
                </c:pt>
                <c:pt idx="4">
                  <c:v>46137</c:v>
                </c:pt>
                <c:pt idx="5">
                  <c:v>46167</c:v>
                </c:pt>
                <c:pt idx="6">
                  <c:v>46198</c:v>
                </c:pt>
                <c:pt idx="7">
                  <c:v>46228</c:v>
                </c:pt>
                <c:pt idx="8">
                  <c:v>46259</c:v>
                </c:pt>
                <c:pt idx="9">
                  <c:v>46290</c:v>
                </c:pt>
                <c:pt idx="10">
                  <c:v>46320</c:v>
                </c:pt>
                <c:pt idx="11">
                  <c:v>46351</c:v>
                </c:pt>
                <c:pt idx="12">
                  <c:v>46381</c:v>
                </c:pt>
                <c:pt idx="13">
                  <c:v>46412</c:v>
                </c:pt>
                <c:pt idx="14">
                  <c:v>46443</c:v>
                </c:pt>
                <c:pt idx="15">
                  <c:v>46471</c:v>
                </c:pt>
                <c:pt idx="16">
                  <c:v>46503</c:v>
                </c:pt>
                <c:pt idx="17">
                  <c:v>46533</c:v>
                </c:pt>
                <c:pt idx="18">
                  <c:v>46564</c:v>
                </c:pt>
              </c:numCache>
            </c:numRef>
          </c:cat>
          <c:val>
            <c:numRef>
              <c:f>PSI_Image!$D$10:$V$10</c:f>
              <c:numCache>
                <c:formatCode>General</c:formatCode>
                <c:ptCount val="19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150</c:v>
                </c:pt>
                <c:pt idx="5">
                  <c:v>150</c:v>
                </c:pt>
                <c:pt idx="6">
                  <c:v>200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230</c:v>
                </c:pt>
                <c:pt idx="12">
                  <c:v>230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01-4F25-82F0-83D06CD73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006320"/>
        <c:axId val="166004880"/>
      </c:barChart>
      <c:lineChart>
        <c:grouping val="standard"/>
        <c:varyColors val="0"/>
        <c:ser>
          <c:idx val="0"/>
          <c:order val="0"/>
          <c:tx>
            <c:strRef>
              <c:f>PSI_Image!$C$6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PSI_Image!$D$5:$V$5</c:f>
              <c:numCache>
                <c:formatCode>yyyy\-mm</c:formatCode>
                <c:ptCount val="19"/>
                <c:pt idx="0">
                  <c:v>45992</c:v>
                </c:pt>
                <c:pt idx="1">
                  <c:v>46048</c:v>
                </c:pt>
                <c:pt idx="2">
                  <c:v>46079</c:v>
                </c:pt>
                <c:pt idx="3">
                  <c:v>46107</c:v>
                </c:pt>
                <c:pt idx="4">
                  <c:v>46137</c:v>
                </c:pt>
                <c:pt idx="5">
                  <c:v>46167</c:v>
                </c:pt>
                <c:pt idx="6">
                  <c:v>46198</c:v>
                </c:pt>
                <c:pt idx="7">
                  <c:v>46228</c:v>
                </c:pt>
                <c:pt idx="8">
                  <c:v>46259</c:v>
                </c:pt>
                <c:pt idx="9">
                  <c:v>46290</c:v>
                </c:pt>
                <c:pt idx="10">
                  <c:v>46320</c:v>
                </c:pt>
                <c:pt idx="11">
                  <c:v>46351</c:v>
                </c:pt>
                <c:pt idx="12">
                  <c:v>46381</c:v>
                </c:pt>
                <c:pt idx="13">
                  <c:v>46412</c:v>
                </c:pt>
                <c:pt idx="14">
                  <c:v>46443</c:v>
                </c:pt>
                <c:pt idx="15">
                  <c:v>46471</c:v>
                </c:pt>
                <c:pt idx="16">
                  <c:v>46503</c:v>
                </c:pt>
                <c:pt idx="17">
                  <c:v>46533</c:v>
                </c:pt>
                <c:pt idx="18">
                  <c:v>46564</c:v>
                </c:pt>
              </c:numCache>
            </c:numRef>
          </c:cat>
          <c:val>
            <c:numRef>
              <c:f>PSI_Image!$D$6:$V$6</c:f>
              <c:numCache>
                <c:formatCode>General</c:formatCode>
                <c:ptCount val="1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50</c:v>
                </c:pt>
                <c:pt idx="5">
                  <c:v>50</c:v>
                </c:pt>
                <c:pt idx="6">
                  <c:v>60</c:v>
                </c:pt>
                <c:pt idx="7">
                  <c:v>90</c:v>
                </c:pt>
                <c:pt idx="8">
                  <c:v>130</c:v>
                </c:pt>
                <c:pt idx="9">
                  <c:v>190</c:v>
                </c:pt>
                <c:pt idx="10">
                  <c:v>260</c:v>
                </c:pt>
                <c:pt idx="11">
                  <c:v>320</c:v>
                </c:pt>
                <c:pt idx="12">
                  <c:v>300</c:v>
                </c:pt>
                <c:pt idx="13">
                  <c:v>250</c:v>
                </c:pt>
                <c:pt idx="14">
                  <c:v>210</c:v>
                </c:pt>
                <c:pt idx="15">
                  <c:v>170</c:v>
                </c:pt>
                <c:pt idx="16">
                  <c:v>130</c:v>
                </c:pt>
                <c:pt idx="17">
                  <c:v>100</c:v>
                </c:pt>
                <c:pt idx="18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01-4F25-82F0-83D06CD73023}"/>
            </c:ext>
          </c:extLst>
        </c:ser>
        <c:ser>
          <c:idx val="1"/>
          <c:order val="1"/>
          <c:tx>
            <c:strRef>
              <c:f>PSI_Image!$C$7</c:f>
              <c:strCache>
                <c:ptCount val="1"/>
                <c:pt idx="0">
                  <c:v>S_actual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PSI_Image!$D$5:$V$5</c:f>
              <c:numCache>
                <c:formatCode>yyyy\-mm</c:formatCode>
                <c:ptCount val="19"/>
                <c:pt idx="0">
                  <c:v>45992</c:v>
                </c:pt>
                <c:pt idx="1">
                  <c:v>46048</c:v>
                </c:pt>
                <c:pt idx="2">
                  <c:v>46079</c:v>
                </c:pt>
                <c:pt idx="3">
                  <c:v>46107</c:v>
                </c:pt>
                <c:pt idx="4">
                  <c:v>46137</c:v>
                </c:pt>
                <c:pt idx="5">
                  <c:v>46167</c:v>
                </c:pt>
                <c:pt idx="6">
                  <c:v>46198</c:v>
                </c:pt>
                <c:pt idx="7">
                  <c:v>46228</c:v>
                </c:pt>
                <c:pt idx="8">
                  <c:v>46259</c:v>
                </c:pt>
                <c:pt idx="9">
                  <c:v>46290</c:v>
                </c:pt>
                <c:pt idx="10">
                  <c:v>46320</c:v>
                </c:pt>
                <c:pt idx="11">
                  <c:v>46351</c:v>
                </c:pt>
                <c:pt idx="12">
                  <c:v>46381</c:v>
                </c:pt>
                <c:pt idx="13">
                  <c:v>46412</c:v>
                </c:pt>
                <c:pt idx="14">
                  <c:v>46443</c:v>
                </c:pt>
                <c:pt idx="15">
                  <c:v>46471</c:v>
                </c:pt>
                <c:pt idx="16">
                  <c:v>46503</c:v>
                </c:pt>
                <c:pt idx="17">
                  <c:v>46533</c:v>
                </c:pt>
                <c:pt idx="18">
                  <c:v>46564</c:v>
                </c:pt>
              </c:numCache>
            </c:numRef>
          </c:cat>
          <c:val>
            <c:numRef>
              <c:f>PSI_Image!$D$7:$V$7</c:f>
              <c:numCache>
                <c:formatCode>General</c:formatCode>
                <c:ptCount val="1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50</c:v>
                </c:pt>
                <c:pt idx="5">
                  <c:v>50</c:v>
                </c:pt>
                <c:pt idx="6">
                  <c:v>60</c:v>
                </c:pt>
                <c:pt idx="7">
                  <c:v>90</c:v>
                </c:pt>
                <c:pt idx="8">
                  <c:v>130</c:v>
                </c:pt>
                <c:pt idx="9">
                  <c:v>190</c:v>
                </c:pt>
                <c:pt idx="10">
                  <c:v>260</c:v>
                </c:pt>
                <c:pt idx="11">
                  <c:v>320</c:v>
                </c:pt>
                <c:pt idx="12">
                  <c:v>300</c:v>
                </c:pt>
                <c:pt idx="13">
                  <c:v>250</c:v>
                </c:pt>
                <c:pt idx="14">
                  <c:v>210</c:v>
                </c:pt>
                <c:pt idx="15">
                  <c:v>170</c:v>
                </c:pt>
                <c:pt idx="16">
                  <c:v>130</c:v>
                </c:pt>
                <c:pt idx="17">
                  <c:v>100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01-4F25-82F0-83D06CD73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006320"/>
        <c:axId val="166004880"/>
      </c:lineChart>
      <c:dateAx>
        <c:axId val="166006320"/>
        <c:scaling>
          <c:orientation val="minMax"/>
        </c:scaling>
        <c:delete val="0"/>
        <c:axPos val="b"/>
        <c:numFmt formatCode="yyyy\-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004880"/>
        <c:auto val="1"/>
        <c:lblOffset val="100"/>
        <c:baseTimeUnit val="months"/>
      </c:dateAx>
      <c:valAx>
        <c:axId val="16600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006320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Revenue / Profit / Cost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PSI_Image!$C$26</c:f>
              <c:strCache>
                <c:ptCount val="1"/>
                <c:pt idx="0">
                  <c:v>Process_Cost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PSI_Image!$D$24:$V$24</c:f>
              <c:numCache>
                <c:formatCode>yyyy\-mm</c:formatCode>
                <c:ptCount val="19"/>
                <c:pt idx="0">
                  <c:v>45992</c:v>
                </c:pt>
                <c:pt idx="1">
                  <c:v>46048</c:v>
                </c:pt>
                <c:pt idx="2">
                  <c:v>46079</c:v>
                </c:pt>
                <c:pt idx="3">
                  <c:v>46107</c:v>
                </c:pt>
                <c:pt idx="4">
                  <c:v>46137</c:v>
                </c:pt>
                <c:pt idx="5">
                  <c:v>46167</c:v>
                </c:pt>
                <c:pt idx="6">
                  <c:v>46198</c:v>
                </c:pt>
                <c:pt idx="7">
                  <c:v>46228</c:v>
                </c:pt>
                <c:pt idx="8">
                  <c:v>46259</c:v>
                </c:pt>
                <c:pt idx="9">
                  <c:v>46290</c:v>
                </c:pt>
                <c:pt idx="10">
                  <c:v>46320</c:v>
                </c:pt>
                <c:pt idx="11">
                  <c:v>46351</c:v>
                </c:pt>
                <c:pt idx="12">
                  <c:v>46381</c:v>
                </c:pt>
                <c:pt idx="13">
                  <c:v>46412</c:v>
                </c:pt>
                <c:pt idx="14">
                  <c:v>46443</c:v>
                </c:pt>
                <c:pt idx="15">
                  <c:v>46471</c:v>
                </c:pt>
                <c:pt idx="16">
                  <c:v>46503</c:v>
                </c:pt>
                <c:pt idx="17">
                  <c:v>46533</c:v>
                </c:pt>
                <c:pt idx="18">
                  <c:v>46564</c:v>
                </c:pt>
              </c:numCache>
            </c:numRef>
          </c:cat>
          <c:val>
            <c:numRef>
              <c:f>PSI_Image!$D$26:$V$26</c:f>
              <c:numCache>
                <c:formatCode>#,##0_);[Red]\(#,##0\)</c:formatCode>
                <c:ptCount val="1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6000</c:v>
                </c:pt>
                <c:pt idx="5">
                  <c:v>6000</c:v>
                </c:pt>
                <c:pt idx="6">
                  <c:v>7200</c:v>
                </c:pt>
                <c:pt idx="7">
                  <c:v>10800</c:v>
                </c:pt>
                <c:pt idx="8">
                  <c:v>15600</c:v>
                </c:pt>
                <c:pt idx="9">
                  <c:v>22800</c:v>
                </c:pt>
                <c:pt idx="10">
                  <c:v>31200</c:v>
                </c:pt>
                <c:pt idx="11">
                  <c:v>38400</c:v>
                </c:pt>
                <c:pt idx="12">
                  <c:v>36000</c:v>
                </c:pt>
                <c:pt idx="13">
                  <c:v>30000</c:v>
                </c:pt>
                <c:pt idx="14">
                  <c:v>25200</c:v>
                </c:pt>
                <c:pt idx="15">
                  <c:v>20400</c:v>
                </c:pt>
                <c:pt idx="16">
                  <c:v>15600</c:v>
                </c:pt>
                <c:pt idx="17">
                  <c:v>12000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00-4ABE-94AE-A0EFCFC0054C}"/>
            </c:ext>
          </c:extLst>
        </c:ser>
        <c:ser>
          <c:idx val="2"/>
          <c:order val="2"/>
          <c:tx>
            <c:strRef>
              <c:f>PSI_Image!$C$27</c:f>
              <c:strCache>
                <c:ptCount val="1"/>
                <c:pt idx="0">
                  <c:v>Purchase_Cost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PSI_Image!$D$24:$V$24</c:f>
              <c:numCache>
                <c:formatCode>yyyy\-mm</c:formatCode>
                <c:ptCount val="19"/>
                <c:pt idx="0">
                  <c:v>45992</c:v>
                </c:pt>
                <c:pt idx="1">
                  <c:v>46048</c:v>
                </c:pt>
                <c:pt idx="2">
                  <c:v>46079</c:v>
                </c:pt>
                <c:pt idx="3">
                  <c:v>46107</c:v>
                </c:pt>
                <c:pt idx="4">
                  <c:v>46137</c:v>
                </c:pt>
                <c:pt idx="5">
                  <c:v>46167</c:v>
                </c:pt>
                <c:pt idx="6">
                  <c:v>46198</c:v>
                </c:pt>
                <c:pt idx="7">
                  <c:v>46228</c:v>
                </c:pt>
                <c:pt idx="8">
                  <c:v>46259</c:v>
                </c:pt>
                <c:pt idx="9">
                  <c:v>46290</c:v>
                </c:pt>
                <c:pt idx="10">
                  <c:v>46320</c:v>
                </c:pt>
                <c:pt idx="11">
                  <c:v>46351</c:v>
                </c:pt>
                <c:pt idx="12">
                  <c:v>46381</c:v>
                </c:pt>
                <c:pt idx="13">
                  <c:v>46412</c:v>
                </c:pt>
                <c:pt idx="14">
                  <c:v>46443</c:v>
                </c:pt>
                <c:pt idx="15">
                  <c:v>46471</c:v>
                </c:pt>
                <c:pt idx="16">
                  <c:v>46503</c:v>
                </c:pt>
                <c:pt idx="17">
                  <c:v>46533</c:v>
                </c:pt>
                <c:pt idx="18">
                  <c:v>46564</c:v>
                </c:pt>
              </c:numCache>
            </c:numRef>
          </c:cat>
          <c:val>
            <c:numRef>
              <c:f>PSI_Image!$D$27:$V$27</c:f>
              <c:numCache>
                <c:formatCode>#,##0_);[Red]\(#,##0\)</c:formatCode>
                <c:ptCount val="19"/>
                <c:pt idx="1">
                  <c:v>40000</c:v>
                </c:pt>
                <c:pt idx="2">
                  <c:v>40000</c:v>
                </c:pt>
                <c:pt idx="3">
                  <c:v>40000</c:v>
                </c:pt>
                <c:pt idx="4">
                  <c:v>60000</c:v>
                </c:pt>
                <c:pt idx="5">
                  <c:v>60000</c:v>
                </c:pt>
                <c:pt idx="6">
                  <c:v>80000</c:v>
                </c:pt>
                <c:pt idx="7">
                  <c:v>100000</c:v>
                </c:pt>
                <c:pt idx="8">
                  <c:v>100000</c:v>
                </c:pt>
                <c:pt idx="9">
                  <c:v>100000</c:v>
                </c:pt>
                <c:pt idx="10">
                  <c:v>100000</c:v>
                </c:pt>
                <c:pt idx="11">
                  <c:v>92000</c:v>
                </c:pt>
                <c:pt idx="12">
                  <c:v>92000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00-4ABE-94AE-A0EFCFC00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016304"/>
        <c:axId val="11154960"/>
      </c:barChart>
      <c:lineChart>
        <c:grouping val="standard"/>
        <c:varyColors val="0"/>
        <c:ser>
          <c:idx val="0"/>
          <c:order val="0"/>
          <c:tx>
            <c:strRef>
              <c:f>PSI_Image!$C$25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PSI_Image!$D$24:$V$24</c:f>
              <c:numCache>
                <c:formatCode>yyyy\-mm</c:formatCode>
                <c:ptCount val="19"/>
                <c:pt idx="0">
                  <c:v>45992</c:v>
                </c:pt>
                <c:pt idx="1">
                  <c:v>46048</c:v>
                </c:pt>
                <c:pt idx="2">
                  <c:v>46079</c:v>
                </c:pt>
                <c:pt idx="3">
                  <c:v>46107</c:v>
                </c:pt>
                <c:pt idx="4">
                  <c:v>46137</c:v>
                </c:pt>
                <c:pt idx="5">
                  <c:v>46167</c:v>
                </c:pt>
                <c:pt idx="6">
                  <c:v>46198</c:v>
                </c:pt>
                <c:pt idx="7">
                  <c:v>46228</c:v>
                </c:pt>
                <c:pt idx="8">
                  <c:v>46259</c:v>
                </c:pt>
                <c:pt idx="9">
                  <c:v>46290</c:v>
                </c:pt>
                <c:pt idx="10">
                  <c:v>46320</c:v>
                </c:pt>
                <c:pt idx="11">
                  <c:v>46351</c:v>
                </c:pt>
                <c:pt idx="12">
                  <c:v>46381</c:v>
                </c:pt>
                <c:pt idx="13">
                  <c:v>46412</c:v>
                </c:pt>
                <c:pt idx="14">
                  <c:v>46443</c:v>
                </c:pt>
                <c:pt idx="15">
                  <c:v>46471</c:v>
                </c:pt>
                <c:pt idx="16">
                  <c:v>46503</c:v>
                </c:pt>
                <c:pt idx="17">
                  <c:v>46533</c:v>
                </c:pt>
                <c:pt idx="18">
                  <c:v>46564</c:v>
                </c:pt>
              </c:numCache>
            </c:numRef>
          </c:cat>
          <c:val>
            <c:numRef>
              <c:f>PSI_Image!$D$25:$V$25</c:f>
              <c:numCache>
                <c:formatCode>#,##0_);[Red]\(#,##0\)</c:formatCode>
                <c:ptCount val="1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50000</c:v>
                </c:pt>
                <c:pt idx="5">
                  <c:v>50000</c:v>
                </c:pt>
                <c:pt idx="6">
                  <c:v>60000</c:v>
                </c:pt>
                <c:pt idx="7">
                  <c:v>90000</c:v>
                </c:pt>
                <c:pt idx="8">
                  <c:v>130000</c:v>
                </c:pt>
                <c:pt idx="9">
                  <c:v>190000</c:v>
                </c:pt>
                <c:pt idx="10">
                  <c:v>260000</c:v>
                </c:pt>
                <c:pt idx="11">
                  <c:v>320000</c:v>
                </c:pt>
                <c:pt idx="12">
                  <c:v>300000</c:v>
                </c:pt>
                <c:pt idx="13">
                  <c:v>250000</c:v>
                </c:pt>
                <c:pt idx="14">
                  <c:v>210000</c:v>
                </c:pt>
                <c:pt idx="15">
                  <c:v>170000</c:v>
                </c:pt>
                <c:pt idx="16">
                  <c:v>130000</c:v>
                </c:pt>
                <c:pt idx="17">
                  <c:v>100000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00-4ABE-94AE-A0EFCFC0054C}"/>
            </c:ext>
          </c:extLst>
        </c:ser>
        <c:ser>
          <c:idx val="3"/>
          <c:order val="3"/>
          <c:tx>
            <c:strRef>
              <c:f>PSI_Image!$C$28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PSI_Image!$D$24:$V$24</c:f>
              <c:numCache>
                <c:formatCode>yyyy\-mm</c:formatCode>
                <c:ptCount val="19"/>
                <c:pt idx="0">
                  <c:v>45992</c:v>
                </c:pt>
                <c:pt idx="1">
                  <c:v>46048</c:v>
                </c:pt>
                <c:pt idx="2">
                  <c:v>46079</c:v>
                </c:pt>
                <c:pt idx="3">
                  <c:v>46107</c:v>
                </c:pt>
                <c:pt idx="4">
                  <c:v>46137</c:v>
                </c:pt>
                <c:pt idx="5">
                  <c:v>46167</c:v>
                </c:pt>
                <c:pt idx="6">
                  <c:v>46198</c:v>
                </c:pt>
                <c:pt idx="7">
                  <c:v>46228</c:v>
                </c:pt>
                <c:pt idx="8">
                  <c:v>46259</c:v>
                </c:pt>
                <c:pt idx="9">
                  <c:v>46290</c:v>
                </c:pt>
                <c:pt idx="10">
                  <c:v>46320</c:v>
                </c:pt>
                <c:pt idx="11">
                  <c:v>46351</c:v>
                </c:pt>
                <c:pt idx="12">
                  <c:v>46381</c:v>
                </c:pt>
                <c:pt idx="13">
                  <c:v>46412</c:v>
                </c:pt>
                <c:pt idx="14">
                  <c:v>46443</c:v>
                </c:pt>
                <c:pt idx="15">
                  <c:v>46471</c:v>
                </c:pt>
                <c:pt idx="16">
                  <c:v>46503</c:v>
                </c:pt>
                <c:pt idx="17">
                  <c:v>46533</c:v>
                </c:pt>
                <c:pt idx="18">
                  <c:v>46564</c:v>
                </c:pt>
              </c:numCache>
            </c:numRef>
          </c:cat>
          <c:val>
            <c:numRef>
              <c:f>PSI_Image!$D$28:$V$28</c:f>
              <c:numCache>
                <c:formatCode>#,##0_);[Red]\(#,##0\)</c:formatCode>
                <c:ptCount val="19"/>
                <c:pt idx="1">
                  <c:v>-40000</c:v>
                </c:pt>
                <c:pt idx="2">
                  <c:v>-40000</c:v>
                </c:pt>
                <c:pt idx="3">
                  <c:v>-40000</c:v>
                </c:pt>
                <c:pt idx="4">
                  <c:v>-16000</c:v>
                </c:pt>
                <c:pt idx="5">
                  <c:v>-16000</c:v>
                </c:pt>
                <c:pt idx="6">
                  <c:v>-27200</c:v>
                </c:pt>
                <c:pt idx="7">
                  <c:v>-20800</c:v>
                </c:pt>
                <c:pt idx="8">
                  <c:v>14400</c:v>
                </c:pt>
                <c:pt idx="9">
                  <c:v>67200</c:v>
                </c:pt>
                <c:pt idx="10">
                  <c:v>128800</c:v>
                </c:pt>
                <c:pt idx="11">
                  <c:v>189600</c:v>
                </c:pt>
                <c:pt idx="12">
                  <c:v>172000</c:v>
                </c:pt>
                <c:pt idx="13">
                  <c:v>220000</c:v>
                </c:pt>
                <c:pt idx="14">
                  <c:v>184800</c:v>
                </c:pt>
                <c:pt idx="15">
                  <c:v>149600</c:v>
                </c:pt>
                <c:pt idx="16">
                  <c:v>114400</c:v>
                </c:pt>
                <c:pt idx="17">
                  <c:v>88000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00-4ABE-94AE-A0EFCFC00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016304"/>
        <c:axId val="11154960"/>
      </c:lineChart>
      <c:dateAx>
        <c:axId val="164016304"/>
        <c:scaling>
          <c:orientation val="minMax"/>
        </c:scaling>
        <c:delete val="0"/>
        <c:axPos val="b"/>
        <c:numFmt formatCode="yyyy\-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54960"/>
        <c:auto val="1"/>
        <c:lblOffset val="100"/>
        <c:baseTimeUnit val="months"/>
      </c:dateAx>
      <c:valAx>
        <c:axId val="1115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4016304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48441</xdr:colOff>
      <xdr:row>4</xdr:row>
      <xdr:rowOff>132807</xdr:rowOff>
    </xdr:from>
    <xdr:to>
      <xdr:col>30</xdr:col>
      <xdr:colOff>593271</xdr:colOff>
      <xdr:row>16</xdr:row>
      <xdr:rowOff>132807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C8FA59A-9B05-669C-A86D-3BF368663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644434</xdr:colOff>
      <xdr:row>17</xdr:row>
      <xdr:rowOff>186147</xdr:rowOff>
    </xdr:from>
    <xdr:to>
      <xdr:col>30</xdr:col>
      <xdr:colOff>658041</xdr:colOff>
      <xdr:row>29</xdr:row>
      <xdr:rowOff>170907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DAB15C4-9594-809F-B9D8-7AF30EAFD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9A52-4E41-4163-ABFA-D4FF6D37B9D4}">
  <dimension ref="B3:W28"/>
  <sheetViews>
    <sheetView tabSelected="1" zoomScale="56" zoomScaleNormal="56" workbookViewId="0">
      <selection activeCell="W3" sqref="W3"/>
    </sheetView>
  </sheetViews>
  <sheetFormatPr defaultRowHeight="18" x14ac:dyDescent="0.45"/>
  <cols>
    <col min="2" max="2" width="24.796875" bestFit="1" customWidth="1"/>
    <col min="3" max="3" width="14.796875" bestFit="1" customWidth="1"/>
    <col min="4" max="4" width="15.296875" bestFit="1" customWidth="1"/>
  </cols>
  <sheetData>
    <row r="3" spans="3:23" x14ac:dyDescent="0.45">
      <c r="C3" s="3" t="s">
        <v>1</v>
      </c>
      <c r="D3" t="s">
        <v>4</v>
      </c>
    </row>
    <row r="5" spans="3:23" x14ac:dyDescent="0.45">
      <c r="C5" t="s">
        <v>0</v>
      </c>
      <c r="D5" s="2">
        <v>45992</v>
      </c>
      <c r="E5" s="2">
        <v>46048</v>
      </c>
      <c r="F5" s="2">
        <v>46079</v>
      </c>
      <c r="G5" s="2">
        <v>46107</v>
      </c>
      <c r="H5" s="2">
        <v>46137</v>
      </c>
      <c r="I5" s="2">
        <v>46167</v>
      </c>
      <c r="J5" s="2">
        <v>46198</v>
      </c>
      <c r="K5" s="2">
        <v>46228</v>
      </c>
      <c r="L5" s="2">
        <v>46259</v>
      </c>
      <c r="M5" s="2">
        <v>46290</v>
      </c>
      <c r="N5" s="2">
        <v>46320</v>
      </c>
      <c r="O5" s="2">
        <v>46351</v>
      </c>
      <c r="P5" s="2">
        <v>46381</v>
      </c>
      <c r="Q5" s="2">
        <v>46412</v>
      </c>
      <c r="R5" s="2">
        <v>46443</v>
      </c>
      <c r="S5" s="2">
        <v>46471</v>
      </c>
      <c r="T5" s="2">
        <v>46503</v>
      </c>
      <c r="U5" s="2">
        <v>46533</v>
      </c>
      <c r="V5" s="2">
        <v>46564</v>
      </c>
    </row>
    <row r="6" spans="3:23" x14ac:dyDescent="0.45">
      <c r="C6" t="s">
        <v>11</v>
      </c>
      <c r="E6">
        <v>0</v>
      </c>
      <c r="F6">
        <v>0</v>
      </c>
      <c r="G6">
        <v>0</v>
      </c>
      <c r="H6">
        <v>50</v>
      </c>
      <c r="I6">
        <v>50</v>
      </c>
      <c r="J6">
        <v>60</v>
      </c>
      <c r="K6">
        <v>90</v>
      </c>
      <c r="L6">
        <v>130</v>
      </c>
      <c r="M6">
        <v>190</v>
      </c>
      <c r="N6">
        <v>260</v>
      </c>
      <c r="O6">
        <v>320</v>
      </c>
      <c r="P6">
        <v>300</v>
      </c>
      <c r="Q6">
        <v>250</v>
      </c>
      <c r="R6">
        <v>210</v>
      </c>
      <c r="S6">
        <v>170</v>
      </c>
      <c r="T6">
        <v>130</v>
      </c>
      <c r="U6">
        <v>100</v>
      </c>
      <c r="V6">
        <v>80</v>
      </c>
      <c r="W6">
        <v>0</v>
      </c>
    </row>
    <row r="7" spans="3:23" x14ac:dyDescent="0.45">
      <c r="C7" t="s">
        <v>15</v>
      </c>
      <c r="E7" s="7">
        <f t="shared" ref="E7:H7" si="0">IF(((D9+E10)-(E6+E8))&lt;0, D9+E10, E6+E8)</f>
        <v>0</v>
      </c>
      <c r="F7" s="7">
        <f t="shared" si="0"/>
        <v>0</v>
      </c>
      <c r="G7" s="7">
        <f t="shared" si="0"/>
        <v>0</v>
      </c>
      <c r="H7" s="7">
        <f t="shared" si="0"/>
        <v>50</v>
      </c>
      <c r="I7" s="7">
        <f>IF(((H9+I10)-(I6+I8))&lt;0, H9+I10, I6+I8)</f>
        <v>50</v>
      </c>
      <c r="J7" s="7">
        <f t="shared" ref="J7:W7" si="1">IF(((I9+J10)-(J6+J8))&lt;0, I9+J10, J6+J8)</f>
        <v>60</v>
      </c>
      <c r="K7" s="7">
        <f t="shared" si="1"/>
        <v>90</v>
      </c>
      <c r="L7" s="7">
        <f t="shared" si="1"/>
        <v>130</v>
      </c>
      <c r="M7" s="7">
        <f t="shared" si="1"/>
        <v>190</v>
      </c>
      <c r="N7" s="7">
        <f t="shared" si="1"/>
        <v>260</v>
      </c>
      <c r="O7" s="7">
        <f t="shared" si="1"/>
        <v>320</v>
      </c>
      <c r="P7" s="7">
        <f t="shared" si="1"/>
        <v>300</v>
      </c>
      <c r="Q7" s="7">
        <f t="shared" si="1"/>
        <v>250</v>
      </c>
      <c r="R7" s="7">
        <f t="shared" si="1"/>
        <v>210</v>
      </c>
      <c r="S7" s="7">
        <f t="shared" si="1"/>
        <v>170</v>
      </c>
      <c r="T7" s="7">
        <f t="shared" si="1"/>
        <v>130</v>
      </c>
      <c r="U7" s="7">
        <f t="shared" si="1"/>
        <v>100</v>
      </c>
      <c r="V7" s="7">
        <f t="shared" si="1"/>
        <v>0</v>
      </c>
      <c r="W7" s="7">
        <f t="shared" si="1"/>
        <v>0</v>
      </c>
    </row>
    <row r="8" spans="3:23" x14ac:dyDescent="0.45">
      <c r="C8" t="s">
        <v>12</v>
      </c>
      <c r="E8" s="5">
        <f t="shared" ref="E8" si="2">IF(D9=0, -(C9+D10-D6-D8), 0)</f>
        <v>0</v>
      </c>
      <c r="F8" s="5">
        <f t="shared" ref="F8" si="3">IF(E9=0, -(D9+E10-E6-E8), 0)</f>
        <v>0</v>
      </c>
      <c r="G8" s="5">
        <f t="shared" ref="G8" si="4">IF(F9=0, -(E9+F10-F6-F8), 0)</f>
        <v>0</v>
      </c>
      <c r="H8" s="5">
        <f t="shared" ref="H8" si="5">IF(G9=0, -(F9+G10-G6-G8), 0)</f>
        <v>0</v>
      </c>
      <c r="I8" s="5">
        <f t="shared" ref="I8" si="6">IF(H9=0, -(G9+H10-H6-H8), 0)</f>
        <v>0</v>
      </c>
      <c r="J8" s="5">
        <f t="shared" ref="J8" si="7">IF(I9=0, -(H9+I10-I6-I8), 0)</f>
        <v>0</v>
      </c>
      <c r="K8" s="5">
        <f t="shared" ref="K8" si="8">IF(J9=0, -(I9+J10-J6-J8), 0)</f>
        <v>0</v>
      </c>
      <c r="L8" s="5">
        <f t="shared" ref="L8" si="9">IF(K9=0, -(J9+K10-K6-K8), 0)</f>
        <v>0</v>
      </c>
      <c r="M8" s="5">
        <f t="shared" ref="M8" si="10">IF(L9=0, -(K9+L10-L6-L8), 0)</f>
        <v>0</v>
      </c>
      <c r="N8" s="5">
        <f t="shared" ref="N8" si="11">IF(M9=0, -(L9+M10-M6-M8), 0)</f>
        <v>0</v>
      </c>
      <c r="O8" s="5">
        <f t="shared" ref="O8" si="12">IF(N9=0, -(M9+N10-N6-N8), 0)</f>
        <v>0</v>
      </c>
      <c r="P8" s="5">
        <f t="shared" ref="P8" si="13">IF(O9=0, -(N9+O10-O6-O8), 0)</f>
        <v>0</v>
      </c>
      <c r="Q8" s="5">
        <f t="shared" ref="Q8" si="14">IF(P9=0, -(O9+P10-P6-P8), 0)</f>
        <v>0</v>
      </c>
      <c r="R8" s="5">
        <f t="shared" ref="R8" si="15">IF(Q9=0, -(P9+Q10-Q6-Q8), 0)</f>
        <v>0</v>
      </c>
      <c r="S8" s="5">
        <f t="shared" ref="S8" si="16">IF(R9=0, -(Q9+R10-R6-R8), 0)</f>
        <v>0</v>
      </c>
      <c r="T8" s="5">
        <f t="shared" ref="T8" si="17">IF(S9=0, -(R9+S10-S6-S8), 0)</f>
        <v>0</v>
      </c>
      <c r="U8" s="5">
        <f t="shared" ref="U8" si="18">IF(T9=0, -(S9+T10-T6-T8), 0)</f>
        <v>0</v>
      </c>
      <c r="V8" s="5">
        <f t="shared" ref="V8:W8" si="19">IF(U9=0, -(T9+U10-U6-U8), 0)</f>
        <v>0</v>
      </c>
      <c r="W8" s="5">
        <f t="shared" si="19"/>
        <v>80</v>
      </c>
    </row>
    <row r="9" spans="3:23" x14ac:dyDescent="0.45">
      <c r="C9" t="s">
        <v>13</v>
      </c>
      <c r="D9">
        <v>50</v>
      </c>
      <c r="E9">
        <f t="shared" ref="E9" si="20">IF((D9+E10-E6-E8)&lt;0, 0, D9+E10-E6-E8)</f>
        <v>150</v>
      </c>
      <c r="F9">
        <f t="shared" ref="F9" si="21">IF((E9+F10-F6-F8)&lt;0, 0, E9+F10-F6-F8)</f>
        <v>250</v>
      </c>
      <c r="G9">
        <f t="shared" ref="G9" si="22">IF((F9+G10-G6-G8)&lt;0, 0, F9+G10-G6-G8)</f>
        <v>350</v>
      </c>
      <c r="H9">
        <f t="shared" ref="H9" si="23">IF((G9+H10-H6-H8)&lt;0, 0, G9+H10-H6-H8)</f>
        <v>450</v>
      </c>
      <c r="I9">
        <f t="shared" ref="I9" si="24">IF((H9+I10-I6-I8)&lt;0, 0, H9+I10-I6-I8)</f>
        <v>550</v>
      </c>
      <c r="J9">
        <f t="shared" ref="J9" si="25">IF((I9+J10-J6-J8)&lt;0, 0, I9+J10-J6-J8)</f>
        <v>690</v>
      </c>
      <c r="K9">
        <f t="shared" ref="K9" si="26">IF((J9+K10-K6-K8)&lt;0, 0, J9+K10-K6-K8)</f>
        <v>850</v>
      </c>
      <c r="L9">
        <f t="shared" ref="L9" si="27">IF((K9+L10-L6-L8)&lt;0, 0, K9+L10-L6-L8)</f>
        <v>970</v>
      </c>
      <c r="M9">
        <f t="shared" ref="M9" si="28">IF((L9+M10-M6-M8)&lt;0, 0, L9+M10-M6-M8)</f>
        <v>1030</v>
      </c>
      <c r="N9">
        <f t="shared" ref="N9" si="29">IF((M9+N10-N6-N8)&lt;0, 0, M9+N10-N6-N8)</f>
        <v>1020</v>
      </c>
      <c r="O9">
        <f t="shared" ref="O9" si="30">IF((N9+O10-O6-O8)&lt;0, 0, N9+O10-O6-O8)</f>
        <v>930</v>
      </c>
      <c r="P9">
        <f t="shared" ref="P9" si="31">IF((O9+P10-P6-P8)&lt;0, 0, O9+P10-P6-P8)</f>
        <v>860</v>
      </c>
      <c r="Q9">
        <f t="shared" ref="Q9" si="32">IF((P9+Q10-Q6-Q8)&lt;0, 0, P9+Q10-Q6-Q8)</f>
        <v>610</v>
      </c>
      <c r="R9">
        <f t="shared" ref="R9" si="33">IF((Q9+R10-R6-R8)&lt;0, 0, Q9+R10-R6-R8)</f>
        <v>400</v>
      </c>
      <c r="S9">
        <f t="shared" ref="S9" si="34">IF((R9+S10-S6-S8)&lt;0, 0, R9+S10-S6-S8)</f>
        <v>230</v>
      </c>
      <c r="T9">
        <f t="shared" ref="T9" si="35">IF((S9+T10-T6-T8)&lt;0, 0, S9+T10-T6-T8)</f>
        <v>100</v>
      </c>
      <c r="U9">
        <f t="shared" ref="U9" si="36">IF((T9+U10-U6-U8)&lt;0, 0, T9+U10-U6-U8)</f>
        <v>0</v>
      </c>
      <c r="V9">
        <f t="shared" ref="V9:W9" si="37">IF((U9+V10-V6-V8)&lt;0, 0, U9+V10-V6-V8)</f>
        <v>0</v>
      </c>
      <c r="W9">
        <f t="shared" si="37"/>
        <v>0</v>
      </c>
    </row>
    <row r="10" spans="3:23" x14ac:dyDescent="0.45">
      <c r="C10" t="s">
        <v>14</v>
      </c>
      <c r="E10">
        <v>100</v>
      </c>
      <c r="F10">
        <v>100</v>
      </c>
      <c r="G10">
        <v>100</v>
      </c>
      <c r="H10">
        <v>150</v>
      </c>
      <c r="I10">
        <v>150</v>
      </c>
      <c r="J10">
        <v>200</v>
      </c>
      <c r="K10">
        <v>250</v>
      </c>
      <c r="L10">
        <v>250</v>
      </c>
      <c r="M10">
        <v>250</v>
      </c>
      <c r="N10">
        <v>250</v>
      </c>
      <c r="O10">
        <v>230</v>
      </c>
      <c r="P10">
        <v>230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2" spans="3:23" x14ac:dyDescent="0.45">
      <c r="C12" t="s">
        <v>16</v>
      </c>
      <c r="E12">
        <f>D12+E6</f>
        <v>0</v>
      </c>
      <c r="F12">
        <f t="shared" ref="F12:V12" si="38">E12+F6</f>
        <v>0</v>
      </c>
      <c r="G12">
        <f t="shared" si="38"/>
        <v>0</v>
      </c>
      <c r="H12">
        <f t="shared" si="38"/>
        <v>50</v>
      </c>
      <c r="I12">
        <f t="shared" si="38"/>
        <v>100</v>
      </c>
      <c r="J12">
        <f t="shared" si="38"/>
        <v>160</v>
      </c>
      <c r="K12">
        <f t="shared" si="38"/>
        <v>250</v>
      </c>
      <c r="L12">
        <f t="shared" si="38"/>
        <v>380</v>
      </c>
      <c r="M12">
        <f t="shared" si="38"/>
        <v>570</v>
      </c>
      <c r="N12">
        <f t="shared" si="38"/>
        <v>830</v>
      </c>
      <c r="O12">
        <f t="shared" si="38"/>
        <v>1150</v>
      </c>
      <c r="P12">
        <f t="shared" si="38"/>
        <v>1450</v>
      </c>
      <c r="Q12">
        <f t="shared" si="38"/>
        <v>1700</v>
      </c>
      <c r="R12">
        <f t="shared" si="38"/>
        <v>1910</v>
      </c>
      <c r="S12">
        <f t="shared" si="38"/>
        <v>2080</v>
      </c>
      <c r="T12">
        <f t="shared" si="38"/>
        <v>2210</v>
      </c>
      <c r="U12">
        <f t="shared" si="38"/>
        <v>2310</v>
      </c>
      <c r="V12">
        <f t="shared" si="38"/>
        <v>2390</v>
      </c>
    </row>
    <row r="13" spans="3:23" x14ac:dyDescent="0.45">
      <c r="C13" t="s">
        <v>13</v>
      </c>
      <c r="D13" s="4">
        <v>50</v>
      </c>
    </row>
    <row r="14" spans="3:23" x14ac:dyDescent="0.45">
      <c r="C14" t="s">
        <v>17</v>
      </c>
      <c r="E14">
        <f>D14+E10</f>
        <v>100</v>
      </c>
      <c r="F14">
        <f t="shared" ref="F14:T14" si="39">E14+F10</f>
        <v>200</v>
      </c>
      <c r="G14">
        <f t="shared" si="39"/>
        <v>300</v>
      </c>
      <c r="H14">
        <f t="shared" si="39"/>
        <v>450</v>
      </c>
      <c r="I14">
        <f t="shared" si="39"/>
        <v>600</v>
      </c>
      <c r="J14">
        <f t="shared" si="39"/>
        <v>800</v>
      </c>
      <c r="K14">
        <f t="shared" si="39"/>
        <v>1050</v>
      </c>
      <c r="L14">
        <f t="shared" si="39"/>
        <v>1300</v>
      </c>
      <c r="M14">
        <f t="shared" si="39"/>
        <v>1550</v>
      </c>
      <c r="N14">
        <f t="shared" si="39"/>
        <v>1800</v>
      </c>
      <c r="O14">
        <f t="shared" si="39"/>
        <v>2030</v>
      </c>
      <c r="P14">
        <f t="shared" si="39"/>
        <v>2260</v>
      </c>
      <c r="Q14">
        <f t="shared" si="39"/>
        <v>2260</v>
      </c>
      <c r="R14">
        <f t="shared" si="39"/>
        <v>2260</v>
      </c>
      <c r="S14">
        <f t="shared" si="39"/>
        <v>2260</v>
      </c>
      <c r="T14">
        <f t="shared" si="39"/>
        <v>2260</v>
      </c>
      <c r="U14">
        <f>T14+U7</f>
        <v>2360</v>
      </c>
      <c r="V14">
        <f>U14+V7</f>
        <v>2360</v>
      </c>
    </row>
    <row r="15" spans="3:23" x14ac:dyDescent="0.45">
      <c r="C15" t="s">
        <v>18</v>
      </c>
      <c r="E15" s="6">
        <f>$D$13+E14</f>
        <v>150</v>
      </c>
      <c r="F15" s="6">
        <f t="shared" ref="F15:V15" si="40">$D$13+F14</f>
        <v>250</v>
      </c>
      <c r="G15" s="6">
        <f t="shared" si="40"/>
        <v>350</v>
      </c>
      <c r="H15" s="6">
        <f t="shared" si="40"/>
        <v>500</v>
      </c>
      <c r="I15" s="6">
        <f t="shared" si="40"/>
        <v>650</v>
      </c>
      <c r="J15" s="6">
        <f t="shared" si="40"/>
        <v>850</v>
      </c>
      <c r="K15" s="6">
        <f t="shared" si="40"/>
        <v>1100</v>
      </c>
      <c r="L15" s="6">
        <f t="shared" si="40"/>
        <v>1350</v>
      </c>
      <c r="M15" s="6">
        <f t="shared" si="40"/>
        <v>1600</v>
      </c>
      <c r="N15" s="6">
        <f t="shared" si="40"/>
        <v>1850</v>
      </c>
      <c r="O15" s="6">
        <f t="shared" si="40"/>
        <v>2080</v>
      </c>
      <c r="P15" s="6">
        <f t="shared" si="40"/>
        <v>2310</v>
      </c>
      <c r="Q15" s="6">
        <f t="shared" si="40"/>
        <v>2310</v>
      </c>
      <c r="R15" s="6">
        <f t="shared" si="40"/>
        <v>2310</v>
      </c>
      <c r="S15" s="6">
        <f t="shared" si="40"/>
        <v>2310</v>
      </c>
      <c r="T15" s="6">
        <f t="shared" si="40"/>
        <v>2310</v>
      </c>
      <c r="U15" s="6">
        <f t="shared" si="40"/>
        <v>2410</v>
      </c>
      <c r="V15" s="6">
        <f t="shared" si="40"/>
        <v>2410</v>
      </c>
    </row>
    <row r="19" spans="2:22" x14ac:dyDescent="0.45">
      <c r="C19" t="s">
        <v>0</v>
      </c>
      <c r="D19" s="2">
        <v>45992</v>
      </c>
      <c r="E19" s="2">
        <v>46048</v>
      </c>
      <c r="F19" s="2">
        <v>46079</v>
      </c>
      <c r="G19" s="2">
        <v>46107</v>
      </c>
      <c r="H19" s="2">
        <v>46137</v>
      </c>
      <c r="I19" s="2">
        <v>46167</v>
      </c>
      <c r="J19" s="2">
        <v>46198</v>
      </c>
      <c r="K19" s="2">
        <v>46228</v>
      </c>
      <c r="L19" s="2">
        <v>46259</v>
      </c>
      <c r="M19" s="2">
        <v>46290</v>
      </c>
      <c r="N19" s="2">
        <v>46320</v>
      </c>
      <c r="O19" s="2">
        <v>46351</v>
      </c>
      <c r="P19" s="2">
        <v>46381</v>
      </c>
      <c r="Q19" s="2">
        <v>46412</v>
      </c>
      <c r="R19" s="2">
        <v>46443</v>
      </c>
      <c r="S19" s="2">
        <v>46471</v>
      </c>
      <c r="T19" s="2">
        <v>46503</v>
      </c>
      <c r="U19" s="2">
        <v>46533</v>
      </c>
      <c r="V19" s="2">
        <v>46564</v>
      </c>
    </row>
    <row r="20" spans="2:22" x14ac:dyDescent="0.45">
      <c r="B20" t="s">
        <v>23</v>
      </c>
      <c r="C20" t="s">
        <v>19</v>
      </c>
      <c r="E20" s="8">
        <v>1000</v>
      </c>
      <c r="F20" s="8">
        <v>1000</v>
      </c>
      <c r="G20" s="8">
        <v>1000</v>
      </c>
      <c r="H20" s="8">
        <v>1000</v>
      </c>
      <c r="I20" s="8">
        <v>1000</v>
      </c>
      <c r="J20" s="8">
        <v>1000</v>
      </c>
      <c r="K20" s="8">
        <v>1000</v>
      </c>
      <c r="L20" s="8">
        <v>1000</v>
      </c>
      <c r="M20" s="8">
        <v>1000</v>
      </c>
      <c r="N20" s="8">
        <v>1000</v>
      </c>
      <c r="O20" s="8">
        <v>1000</v>
      </c>
      <c r="P20" s="8">
        <v>1000</v>
      </c>
      <c r="Q20" s="8">
        <v>1000</v>
      </c>
      <c r="R20" s="8">
        <v>1000</v>
      </c>
      <c r="S20" s="8">
        <v>1000</v>
      </c>
      <c r="T20" s="8">
        <v>1000</v>
      </c>
      <c r="U20" s="8">
        <v>1000</v>
      </c>
      <c r="V20" s="8">
        <v>1000</v>
      </c>
    </row>
    <row r="21" spans="2:22" x14ac:dyDescent="0.45">
      <c r="B21" t="s">
        <v>23</v>
      </c>
      <c r="C21" t="s">
        <v>20</v>
      </c>
      <c r="E21" s="8">
        <v>120</v>
      </c>
      <c r="F21" s="8">
        <v>120</v>
      </c>
      <c r="G21" s="8">
        <v>120</v>
      </c>
      <c r="H21" s="8">
        <v>120</v>
      </c>
      <c r="I21" s="8">
        <v>120</v>
      </c>
      <c r="J21" s="8">
        <v>120</v>
      </c>
      <c r="K21" s="8">
        <v>120</v>
      </c>
      <c r="L21" s="8">
        <v>120</v>
      </c>
      <c r="M21" s="8">
        <v>120</v>
      </c>
      <c r="N21" s="8">
        <v>120</v>
      </c>
      <c r="O21" s="8">
        <v>120</v>
      </c>
      <c r="P21" s="8">
        <v>120</v>
      </c>
      <c r="Q21" s="8">
        <v>120</v>
      </c>
      <c r="R21" s="8">
        <v>120</v>
      </c>
      <c r="S21" s="8">
        <v>120</v>
      </c>
      <c r="T21" s="8">
        <v>120</v>
      </c>
      <c r="U21" s="8">
        <v>120</v>
      </c>
      <c r="V21" s="8">
        <v>120</v>
      </c>
    </row>
    <row r="22" spans="2:22" x14ac:dyDescent="0.45">
      <c r="B22" t="s">
        <v>23</v>
      </c>
      <c r="C22" t="s">
        <v>21</v>
      </c>
      <c r="E22" s="8">
        <v>400</v>
      </c>
      <c r="F22" s="8">
        <v>400</v>
      </c>
      <c r="G22" s="8">
        <v>400</v>
      </c>
      <c r="H22" s="8">
        <v>400</v>
      </c>
      <c r="I22" s="8">
        <v>400</v>
      </c>
      <c r="J22" s="8">
        <v>400</v>
      </c>
      <c r="K22" s="8">
        <v>400</v>
      </c>
      <c r="L22" s="8">
        <v>400</v>
      </c>
      <c r="M22" s="8">
        <v>400</v>
      </c>
      <c r="N22" s="8">
        <v>400</v>
      </c>
      <c r="O22" s="8">
        <v>400</v>
      </c>
      <c r="P22" s="8">
        <v>400</v>
      </c>
      <c r="Q22" s="8">
        <v>400</v>
      </c>
      <c r="R22" s="8">
        <v>400</v>
      </c>
      <c r="S22" s="8">
        <v>400</v>
      </c>
      <c r="T22" s="8">
        <v>400</v>
      </c>
      <c r="U22" s="8">
        <v>400</v>
      </c>
      <c r="V22" s="8">
        <v>400</v>
      </c>
    </row>
    <row r="24" spans="2:22" x14ac:dyDescent="0.45">
      <c r="C24" t="s">
        <v>0</v>
      </c>
      <c r="D24" s="2">
        <v>45992</v>
      </c>
      <c r="E24" s="2">
        <v>46048</v>
      </c>
      <c r="F24" s="2">
        <v>46079</v>
      </c>
      <c r="G24" s="2">
        <v>46107</v>
      </c>
      <c r="H24" s="2">
        <v>46137</v>
      </c>
      <c r="I24" s="2">
        <v>46167</v>
      </c>
      <c r="J24" s="2">
        <v>46198</v>
      </c>
      <c r="K24" s="2">
        <v>46228</v>
      </c>
      <c r="L24" s="2">
        <v>46259</v>
      </c>
      <c r="M24" s="2">
        <v>46290</v>
      </c>
      <c r="N24" s="2">
        <v>46320</v>
      </c>
      <c r="O24" s="2">
        <v>46351</v>
      </c>
      <c r="P24" s="2">
        <v>46381</v>
      </c>
      <c r="Q24" s="2">
        <v>46412</v>
      </c>
      <c r="R24" s="2">
        <v>46443</v>
      </c>
      <c r="S24" s="2">
        <v>46471</v>
      </c>
      <c r="T24" s="2">
        <v>46503</v>
      </c>
      <c r="U24" s="2">
        <v>46533</v>
      </c>
      <c r="V24" s="2">
        <v>46564</v>
      </c>
    </row>
    <row r="25" spans="2:22" x14ac:dyDescent="0.45">
      <c r="B25" t="s">
        <v>24</v>
      </c>
      <c r="C25" t="s">
        <v>22</v>
      </c>
      <c r="E25" s="8">
        <f>E7*E20</f>
        <v>0</v>
      </c>
      <c r="F25" s="8">
        <f t="shared" ref="F25:V25" si="41">F7*F20</f>
        <v>0</v>
      </c>
      <c r="G25" s="8">
        <f t="shared" si="41"/>
        <v>0</v>
      </c>
      <c r="H25" s="8">
        <f t="shared" si="41"/>
        <v>50000</v>
      </c>
      <c r="I25" s="8">
        <f t="shared" si="41"/>
        <v>50000</v>
      </c>
      <c r="J25" s="8">
        <f t="shared" si="41"/>
        <v>60000</v>
      </c>
      <c r="K25" s="8">
        <f t="shared" si="41"/>
        <v>90000</v>
      </c>
      <c r="L25" s="8">
        <f t="shared" si="41"/>
        <v>130000</v>
      </c>
      <c r="M25" s="8">
        <f t="shared" si="41"/>
        <v>190000</v>
      </c>
      <c r="N25" s="8">
        <f t="shared" si="41"/>
        <v>260000</v>
      </c>
      <c r="O25" s="8">
        <f t="shared" si="41"/>
        <v>320000</v>
      </c>
      <c r="P25" s="8">
        <f t="shared" si="41"/>
        <v>300000</v>
      </c>
      <c r="Q25" s="8">
        <f t="shared" si="41"/>
        <v>250000</v>
      </c>
      <c r="R25" s="8">
        <f t="shared" si="41"/>
        <v>210000</v>
      </c>
      <c r="S25" s="8">
        <f t="shared" si="41"/>
        <v>170000</v>
      </c>
      <c r="T25" s="8">
        <f t="shared" si="41"/>
        <v>130000</v>
      </c>
      <c r="U25" s="8">
        <f t="shared" si="41"/>
        <v>100000</v>
      </c>
      <c r="V25" s="8">
        <f t="shared" si="41"/>
        <v>0</v>
      </c>
    </row>
    <row r="26" spans="2:22" x14ac:dyDescent="0.45">
      <c r="B26" t="s">
        <v>25</v>
      </c>
      <c r="C26" t="s">
        <v>20</v>
      </c>
      <c r="E26" s="8">
        <f>E7*E21</f>
        <v>0</v>
      </c>
      <c r="F26" s="8">
        <f t="shared" ref="F26:V26" si="42">F7*F21</f>
        <v>0</v>
      </c>
      <c r="G26" s="8">
        <f t="shared" si="42"/>
        <v>0</v>
      </c>
      <c r="H26" s="8">
        <f t="shared" si="42"/>
        <v>6000</v>
      </c>
      <c r="I26" s="8">
        <f t="shared" si="42"/>
        <v>6000</v>
      </c>
      <c r="J26" s="8">
        <f t="shared" si="42"/>
        <v>7200</v>
      </c>
      <c r="K26" s="8">
        <f t="shared" si="42"/>
        <v>10800</v>
      </c>
      <c r="L26" s="8">
        <f t="shared" si="42"/>
        <v>15600</v>
      </c>
      <c r="M26" s="8">
        <f t="shared" si="42"/>
        <v>22800</v>
      </c>
      <c r="N26" s="8">
        <f t="shared" si="42"/>
        <v>31200</v>
      </c>
      <c r="O26" s="8">
        <f t="shared" si="42"/>
        <v>38400</v>
      </c>
      <c r="P26" s="8">
        <f t="shared" si="42"/>
        <v>36000</v>
      </c>
      <c r="Q26" s="8">
        <f t="shared" si="42"/>
        <v>30000</v>
      </c>
      <c r="R26" s="8">
        <f t="shared" si="42"/>
        <v>25200</v>
      </c>
      <c r="S26" s="8">
        <f t="shared" si="42"/>
        <v>20400</v>
      </c>
      <c r="T26" s="8">
        <f t="shared" si="42"/>
        <v>15600</v>
      </c>
      <c r="U26" s="8">
        <f t="shared" si="42"/>
        <v>12000</v>
      </c>
      <c r="V26" s="8">
        <f t="shared" si="42"/>
        <v>0</v>
      </c>
    </row>
    <row r="27" spans="2:22" x14ac:dyDescent="0.45">
      <c r="B27" t="s">
        <v>26</v>
      </c>
      <c r="C27" t="s">
        <v>21</v>
      </c>
      <c r="E27" s="8">
        <f>E10*E22</f>
        <v>40000</v>
      </c>
      <c r="F27" s="8">
        <f t="shared" ref="F27:V27" si="43">F10*F22</f>
        <v>40000</v>
      </c>
      <c r="G27" s="8">
        <f t="shared" si="43"/>
        <v>40000</v>
      </c>
      <c r="H27" s="8">
        <f t="shared" si="43"/>
        <v>60000</v>
      </c>
      <c r="I27" s="8">
        <f t="shared" si="43"/>
        <v>60000</v>
      </c>
      <c r="J27" s="8">
        <f t="shared" si="43"/>
        <v>80000</v>
      </c>
      <c r="K27" s="8">
        <f t="shared" si="43"/>
        <v>100000</v>
      </c>
      <c r="L27" s="8">
        <f t="shared" si="43"/>
        <v>100000</v>
      </c>
      <c r="M27" s="8">
        <f t="shared" si="43"/>
        <v>100000</v>
      </c>
      <c r="N27" s="8">
        <f t="shared" si="43"/>
        <v>100000</v>
      </c>
      <c r="O27" s="8">
        <f t="shared" si="43"/>
        <v>92000</v>
      </c>
      <c r="P27" s="8">
        <f t="shared" si="43"/>
        <v>92000</v>
      </c>
      <c r="Q27" s="8">
        <f t="shared" si="43"/>
        <v>0</v>
      </c>
      <c r="R27" s="8">
        <f t="shared" si="43"/>
        <v>0</v>
      </c>
      <c r="S27" s="8">
        <f t="shared" si="43"/>
        <v>0</v>
      </c>
      <c r="T27" s="8">
        <f t="shared" si="43"/>
        <v>0</v>
      </c>
      <c r="U27" s="8">
        <f t="shared" si="43"/>
        <v>0</v>
      </c>
      <c r="V27" s="8">
        <f t="shared" si="43"/>
        <v>0</v>
      </c>
    </row>
    <row r="28" spans="2:22" x14ac:dyDescent="0.45">
      <c r="C28" t="s">
        <v>27</v>
      </c>
      <c r="E28" s="9">
        <f t="shared" ref="E28:G28" si="44">E25-E26-E27</f>
        <v>-40000</v>
      </c>
      <c r="F28" s="9">
        <f t="shared" si="44"/>
        <v>-40000</v>
      </c>
      <c r="G28" s="9">
        <f t="shared" si="44"/>
        <v>-40000</v>
      </c>
      <c r="H28" s="9">
        <f>H25-H26-H27</f>
        <v>-16000</v>
      </c>
      <c r="I28" s="9">
        <f t="shared" ref="I28:V28" si="45">I25-I26-I27</f>
        <v>-16000</v>
      </c>
      <c r="J28" s="9">
        <f t="shared" si="45"/>
        <v>-27200</v>
      </c>
      <c r="K28" s="9">
        <f t="shared" si="45"/>
        <v>-20800</v>
      </c>
      <c r="L28" s="9">
        <f t="shared" si="45"/>
        <v>14400</v>
      </c>
      <c r="M28" s="9">
        <f t="shared" si="45"/>
        <v>67200</v>
      </c>
      <c r="N28" s="9">
        <f t="shared" si="45"/>
        <v>128800</v>
      </c>
      <c r="O28" s="9">
        <f t="shared" si="45"/>
        <v>189600</v>
      </c>
      <c r="P28" s="9">
        <f t="shared" si="45"/>
        <v>172000</v>
      </c>
      <c r="Q28" s="9">
        <f t="shared" si="45"/>
        <v>220000</v>
      </c>
      <c r="R28" s="9">
        <f t="shared" si="45"/>
        <v>184800</v>
      </c>
      <c r="S28" s="9">
        <f t="shared" si="45"/>
        <v>149600</v>
      </c>
      <c r="T28" s="9">
        <f t="shared" si="45"/>
        <v>114400</v>
      </c>
      <c r="U28" s="9">
        <f t="shared" si="45"/>
        <v>88000</v>
      </c>
      <c r="V28" s="9">
        <f t="shared" si="45"/>
        <v>0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3731-E87A-41A0-9645-988F3FFE08E1}">
  <dimension ref="A1:D25"/>
  <sheetViews>
    <sheetView workbookViewId="0">
      <selection activeCell="G14" sqref="G14"/>
    </sheetView>
  </sheetViews>
  <sheetFormatPr defaultRowHeight="18" x14ac:dyDescent="0.45"/>
  <cols>
    <col min="3" max="3" width="12.2968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2">
        <v>46048</v>
      </c>
      <c r="B2" t="s">
        <v>4</v>
      </c>
      <c r="C2" t="s">
        <v>9</v>
      </c>
      <c r="D2">
        <v>1000</v>
      </c>
    </row>
    <row r="3" spans="1:4" x14ac:dyDescent="0.45">
      <c r="A3" s="2">
        <v>46079</v>
      </c>
      <c r="B3" t="s">
        <v>4</v>
      </c>
      <c r="C3" t="s">
        <v>9</v>
      </c>
      <c r="D3">
        <v>1000</v>
      </c>
    </row>
    <row r="4" spans="1:4" x14ac:dyDescent="0.45">
      <c r="A4" s="2">
        <v>46107</v>
      </c>
      <c r="B4" t="s">
        <v>4</v>
      </c>
      <c r="C4" t="s">
        <v>9</v>
      </c>
      <c r="D4">
        <v>1000</v>
      </c>
    </row>
    <row r="5" spans="1:4" x14ac:dyDescent="0.45">
      <c r="A5" s="2">
        <v>46137</v>
      </c>
      <c r="B5" t="s">
        <v>4</v>
      </c>
      <c r="C5" t="s">
        <v>9</v>
      </c>
      <c r="D5">
        <v>1000</v>
      </c>
    </row>
    <row r="6" spans="1:4" x14ac:dyDescent="0.45">
      <c r="A6" s="2">
        <v>46167</v>
      </c>
      <c r="B6" t="s">
        <v>4</v>
      </c>
      <c r="C6" t="s">
        <v>9</v>
      </c>
      <c r="D6">
        <v>1000</v>
      </c>
    </row>
    <row r="7" spans="1:4" x14ac:dyDescent="0.45">
      <c r="A7" s="2">
        <v>46198</v>
      </c>
      <c r="B7" t="s">
        <v>4</v>
      </c>
      <c r="C7" t="s">
        <v>9</v>
      </c>
      <c r="D7">
        <v>1000</v>
      </c>
    </row>
    <row r="8" spans="1:4" x14ac:dyDescent="0.45">
      <c r="A8" s="2">
        <v>46228</v>
      </c>
      <c r="B8" t="s">
        <v>4</v>
      </c>
      <c r="C8" t="s">
        <v>9</v>
      </c>
      <c r="D8">
        <v>1000</v>
      </c>
    </row>
    <row r="9" spans="1:4" x14ac:dyDescent="0.45">
      <c r="A9" s="2">
        <v>46259</v>
      </c>
      <c r="B9" t="s">
        <v>4</v>
      </c>
      <c r="C9" t="s">
        <v>9</v>
      </c>
      <c r="D9">
        <v>1000</v>
      </c>
    </row>
    <row r="10" spans="1:4" x14ac:dyDescent="0.45">
      <c r="A10" s="2">
        <v>46290</v>
      </c>
      <c r="B10" t="s">
        <v>4</v>
      </c>
      <c r="C10" t="s">
        <v>9</v>
      </c>
      <c r="D10">
        <v>1000</v>
      </c>
    </row>
    <row r="11" spans="1:4" x14ac:dyDescent="0.45">
      <c r="A11" s="2">
        <v>46320</v>
      </c>
      <c r="B11" t="s">
        <v>4</v>
      </c>
      <c r="C11" t="s">
        <v>9</v>
      </c>
      <c r="D11">
        <v>1000</v>
      </c>
    </row>
    <row r="12" spans="1:4" x14ac:dyDescent="0.45">
      <c r="A12" s="2">
        <v>46351</v>
      </c>
      <c r="B12" t="s">
        <v>4</v>
      </c>
      <c r="C12" t="s">
        <v>9</v>
      </c>
      <c r="D12">
        <v>1000</v>
      </c>
    </row>
    <row r="13" spans="1:4" x14ac:dyDescent="0.45">
      <c r="A13" s="2">
        <v>46381</v>
      </c>
      <c r="B13" t="s">
        <v>4</v>
      </c>
      <c r="C13" t="s">
        <v>9</v>
      </c>
      <c r="D13">
        <v>1000</v>
      </c>
    </row>
    <row r="14" spans="1:4" x14ac:dyDescent="0.45">
      <c r="A14" s="2">
        <v>46412</v>
      </c>
      <c r="B14" t="s">
        <v>4</v>
      </c>
      <c r="C14" t="s">
        <v>9</v>
      </c>
      <c r="D14">
        <v>1000</v>
      </c>
    </row>
    <row r="15" spans="1:4" x14ac:dyDescent="0.45">
      <c r="A15" s="2">
        <v>46443</v>
      </c>
      <c r="B15" t="s">
        <v>4</v>
      </c>
      <c r="C15" t="s">
        <v>9</v>
      </c>
      <c r="D15">
        <v>1000</v>
      </c>
    </row>
    <row r="16" spans="1:4" x14ac:dyDescent="0.45">
      <c r="A16" s="2">
        <v>46471</v>
      </c>
      <c r="B16" t="s">
        <v>4</v>
      </c>
      <c r="C16" t="s">
        <v>9</v>
      </c>
      <c r="D16">
        <v>1000</v>
      </c>
    </row>
    <row r="17" spans="1:4" x14ac:dyDescent="0.45">
      <c r="A17" s="2">
        <v>46503</v>
      </c>
      <c r="B17" t="s">
        <v>4</v>
      </c>
      <c r="C17" t="s">
        <v>9</v>
      </c>
      <c r="D17">
        <v>1000</v>
      </c>
    </row>
    <row r="18" spans="1:4" x14ac:dyDescent="0.45">
      <c r="A18" s="2">
        <v>46533</v>
      </c>
      <c r="B18" t="s">
        <v>4</v>
      </c>
      <c r="C18" t="s">
        <v>9</v>
      </c>
      <c r="D18">
        <v>1000</v>
      </c>
    </row>
    <row r="19" spans="1:4" x14ac:dyDescent="0.45">
      <c r="A19" s="2">
        <v>46564</v>
      </c>
      <c r="B19" t="s">
        <v>4</v>
      </c>
      <c r="C19" t="s">
        <v>9</v>
      </c>
      <c r="D19">
        <v>1000</v>
      </c>
    </row>
    <row r="20" spans="1:4" x14ac:dyDescent="0.45">
      <c r="A20" s="2"/>
    </row>
    <row r="21" spans="1:4" x14ac:dyDescent="0.45">
      <c r="A21" s="2"/>
    </row>
    <row r="22" spans="1:4" x14ac:dyDescent="0.45">
      <c r="A22" s="2"/>
    </row>
    <row r="23" spans="1:4" x14ac:dyDescent="0.45">
      <c r="A23" s="2"/>
    </row>
    <row r="24" spans="1:4" x14ac:dyDescent="0.45">
      <c r="A24" s="2"/>
    </row>
    <row r="25" spans="1:4" x14ac:dyDescent="0.45">
      <c r="A25" s="2"/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DF600-0A32-49DA-B0E4-120A74DA764C}">
  <dimension ref="A1:D25"/>
  <sheetViews>
    <sheetView workbookViewId="0">
      <selection activeCell="D19" sqref="D2:D19"/>
    </sheetView>
  </sheetViews>
  <sheetFormatPr defaultRowHeight="18" x14ac:dyDescent="0.45"/>
  <cols>
    <col min="3" max="3" width="12.2968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2">
        <v>46048</v>
      </c>
      <c r="B2" t="s">
        <v>4</v>
      </c>
      <c r="C2" t="s">
        <v>9</v>
      </c>
      <c r="D2">
        <v>400</v>
      </c>
    </row>
    <row r="3" spans="1:4" x14ac:dyDescent="0.45">
      <c r="A3" s="2">
        <v>46079</v>
      </c>
      <c r="B3" t="s">
        <v>4</v>
      </c>
      <c r="C3" t="s">
        <v>9</v>
      </c>
      <c r="D3">
        <v>400</v>
      </c>
    </row>
    <row r="4" spans="1:4" x14ac:dyDescent="0.45">
      <c r="A4" s="2">
        <v>46107</v>
      </c>
      <c r="B4" t="s">
        <v>4</v>
      </c>
      <c r="C4" t="s">
        <v>9</v>
      </c>
      <c r="D4">
        <v>400</v>
      </c>
    </row>
    <row r="5" spans="1:4" x14ac:dyDescent="0.45">
      <c r="A5" s="2">
        <v>46137</v>
      </c>
      <c r="B5" t="s">
        <v>4</v>
      </c>
      <c r="C5" t="s">
        <v>9</v>
      </c>
      <c r="D5">
        <v>400</v>
      </c>
    </row>
    <row r="6" spans="1:4" x14ac:dyDescent="0.45">
      <c r="A6" s="2">
        <v>46167</v>
      </c>
      <c r="B6" t="s">
        <v>4</v>
      </c>
      <c r="C6" t="s">
        <v>9</v>
      </c>
      <c r="D6">
        <v>400</v>
      </c>
    </row>
    <row r="7" spans="1:4" x14ac:dyDescent="0.45">
      <c r="A7" s="2">
        <v>46198</v>
      </c>
      <c r="B7" t="s">
        <v>4</v>
      </c>
      <c r="C7" t="s">
        <v>9</v>
      </c>
      <c r="D7">
        <v>400</v>
      </c>
    </row>
    <row r="8" spans="1:4" x14ac:dyDescent="0.45">
      <c r="A8" s="2">
        <v>46228</v>
      </c>
      <c r="B8" t="s">
        <v>4</v>
      </c>
      <c r="C8" t="s">
        <v>9</v>
      </c>
      <c r="D8">
        <v>400</v>
      </c>
    </row>
    <row r="9" spans="1:4" x14ac:dyDescent="0.45">
      <c r="A9" s="2">
        <v>46259</v>
      </c>
      <c r="B9" t="s">
        <v>4</v>
      </c>
      <c r="C9" t="s">
        <v>9</v>
      </c>
      <c r="D9">
        <v>400</v>
      </c>
    </row>
    <row r="10" spans="1:4" x14ac:dyDescent="0.45">
      <c r="A10" s="2">
        <v>46290</v>
      </c>
      <c r="B10" t="s">
        <v>4</v>
      </c>
      <c r="C10" t="s">
        <v>9</v>
      </c>
      <c r="D10">
        <v>400</v>
      </c>
    </row>
    <row r="11" spans="1:4" x14ac:dyDescent="0.45">
      <c r="A11" s="2">
        <v>46320</v>
      </c>
      <c r="B11" t="s">
        <v>4</v>
      </c>
      <c r="C11" t="s">
        <v>9</v>
      </c>
      <c r="D11">
        <v>400</v>
      </c>
    </row>
    <row r="12" spans="1:4" x14ac:dyDescent="0.45">
      <c r="A12" s="2">
        <v>46351</v>
      </c>
      <c r="B12" t="s">
        <v>4</v>
      </c>
      <c r="C12" t="s">
        <v>9</v>
      </c>
      <c r="D12">
        <v>400</v>
      </c>
    </row>
    <row r="13" spans="1:4" x14ac:dyDescent="0.45">
      <c r="A13" s="2">
        <v>46381</v>
      </c>
      <c r="B13" t="s">
        <v>4</v>
      </c>
      <c r="C13" t="s">
        <v>9</v>
      </c>
      <c r="D13">
        <v>400</v>
      </c>
    </row>
    <row r="14" spans="1:4" x14ac:dyDescent="0.45">
      <c r="A14" s="2">
        <v>46412</v>
      </c>
      <c r="B14" t="s">
        <v>4</v>
      </c>
      <c r="C14" t="s">
        <v>9</v>
      </c>
      <c r="D14">
        <v>400</v>
      </c>
    </row>
    <row r="15" spans="1:4" x14ac:dyDescent="0.45">
      <c r="A15" s="2">
        <v>46443</v>
      </c>
      <c r="B15" t="s">
        <v>4</v>
      </c>
      <c r="C15" t="s">
        <v>9</v>
      </c>
      <c r="D15">
        <v>400</v>
      </c>
    </row>
    <row r="16" spans="1:4" x14ac:dyDescent="0.45">
      <c r="A16" s="2">
        <v>46471</v>
      </c>
      <c r="B16" t="s">
        <v>4</v>
      </c>
      <c r="C16" t="s">
        <v>9</v>
      </c>
      <c r="D16">
        <v>400</v>
      </c>
    </row>
    <row r="17" spans="1:4" x14ac:dyDescent="0.45">
      <c r="A17" s="2">
        <v>46503</v>
      </c>
      <c r="B17" t="s">
        <v>4</v>
      </c>
      <c r="C17" t="s">
        <v>9</v>
      </c>
      <c r="D17">
        <v>400</v>
      </c>
    </row>
    <row r="18" spans="1:4" x14ac:dyDescent="0.45">
      <c r="A18" s="2">
        <v>46533</v>
      </c>
      <c r="B18" t="s">
        <v>4</v>
      </c>
      <c r="C18" t="s">
        <v>9</v>
      </c>
      <c r="D18">
        <v>400</v>
      </c>
    </row>
    <row r="19" spans="1:4" x14ac:dyDescent="0.45">
      <c r="A19" s="2">
        <v>46564</v>
      </c>
      <c r="B19" t="s">
        <v>4</v>
      </c>
      <c r="C19" t="s">
        <v>9</v>
      </c>
      <c r="D19">
        <v>400</v>
      </c>
    </row>
    <row r="20" spans="1:4" x14ac:dyDescent="0.45">
      <c r="A20" s="2"/>
    </row>
    <row r="21" spans="1:4" x14ac:dyDescent="0.45">
      <c r="A21" s="2"/>
    </row>
    <row r="22" spans="1:4" x14ac:dyDescent="0.45">
      <c r="A22" s="2"/>
    </row>
    <row r="23" spans="1:4" x14ac:dyDescent="0.45">
      <c r="A23" s="2"/>
    </row>
    <row r="24" spans="1:4" x14ac:dyDescent="0.45">
      <c r="A24" s="2"/>
    </row>
    <row r="25" spans="1:4" x14ac:dyDescent="0.45">
      <c r="A25" s="2"/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6365C-37DA-475B-9ABF-BCDE6AD28CBF}">
  <dimension ref="A1:D19"/>
  <sheetViews>
    <sheetView workbookViewId="0">
      <selection activeCell="D19" sqref="D2:D19"/>
    </sheetView>
  </sheetViews>
  <sheetFormatPr defaultRowHeight="18" x14ac:dyDescent="0.45"/>
  <cols>
    <col min="3" max="3" width="12.2968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2">
        <v>46048</v>
      </c>
      <c r="B2" t="s">
        <v>4</v>
      </c>
      <c r="C2" t="s">
        <v>7</v>
      </c>
      <c r="D2">
        <v>120</v>
      </c>
    </row>
    <row r="3" spans="1:4" x14ac:dyDescent="0.45">
      <c r="A3" s="2">
        <v>46079</v>
      </c>
      <c r="B3" t="s">
        <v>4</v>
      </c>
      <c r="C3" t="s">
        <v>7</v>
      </c>
      <c r="D3">
        <v>120</v>
      </c>
    </row>
    <row r="4" spans="1:4" x14ac:dyDescent="0.45">
      <c r="A4" s="2">
        <v>46107</v>
      </c>
      <c r="B4" t="s">
        <v>4</v>
      </c>
      <c r="C4" t="s">
        <v>7</v>
      </c>
      <c r="D4">
        <v>120</v>
      </c>
    </row>
    <row r="5" spans="1:4" x14ac:dyDescent="0.45">
      <c r="A5" s="2">
        <v>46137</v>
      </c>
      <c r="B5" t="s">
        <v>4</v>
      </c>
      <c r="C5" t="s">
        <v>7</v>
      </c>
      <c r="D5">
        <v>120</v>
      </c>
    </row>
    <row r="6" spans="1:4" x14ac:dyDescent="0.45">
      <c r="A6" s="2">
        <v>46167</v>
      </c>
      <c r="B6" t="s">
        <v>4</v>
      </c>
      <c r="C6" t="s">
        <v>7</v>
      </c>
      <c r="D6">
        <v>120</v>
      </c>
    </row>
    <row r="7" spans="1:4" x14ac:dyDescent="0.45">
      <c r="A7" s="2">
        <v>46198</v>
      </c>
      <c r="B7" t="s">
        <v>4</v>
      </c>
      <c r="C7" t="s">
        <v>7</v>
      </c>
      <c r="D7">
        <v>120</v>
      </c>
    </row>
    <row r="8" spans="1:4" x14ac:dyDescent="0.45">
      <c r="A8" s="2">
        <v>46228</v>
      </c>
      <c r="B8" t="s">
        <v>4</v>
      </c>
      <c r="C8" t="s">
        <v>7</v>
      </c>
      <c r="D8">
        <v>120</v>
      </c>
    </row>
    <row r="9" spans="1:4" x14ac:dyDescent="0.45">
      <c r="A9" s="2">
        <v>46259</v>
      </c>
      <c r="B9" t="s">
        <v>4</v>
      </c>
      <c r="C9" t="s">
        <v>7</v>
      </c>
      <c r="D9">
        <v>120</v>
      </c>
    </row>
    <row r="10" spans="1:4" x14ac:dyDescent="0.45">
      <c r="A10" s="2">
        <v>46290</v>
      </c>
      <c r="B10" t="s">
        <v>4</v>
      </c>
      <c r="C10" t="s">
        <v>7</v>
      </c>
      <c r="D10">
        <v>120</v>
      </c>
    </row>
    <row r="11" spans="1:4" x14ac:dyDescent="0.45">
      <c r="A11" s="2">
        <v>46320</v>
      </c>
      <c r="B11" t="s">
        <v>4</v>
      </c>
      <c r="C11" t="s">
        <v>7</v>
      </c>
      <c r="D11">
        <v>120</v>
      </c>
    </row>
    <row r="12" spans="1:4" x14ac:dyDescent="0.45">
      <c r="A12" s="2">
        <v>46351</v>
      </c>
      <c r="B12" t="s">
        <v>4</v>
      </c>
      <c r="C12" t="s">
        <v>7</v>
      </c>
      <c r="D12">
        <v>120</v>
      </c>
    </row>
    <row r="13" spans="1:4" x14ac:dyDescent="0.45">
      <c r="A13" s="2">
        <v>46381</v>
      </c>
      <c r="B13" t="s">
        <v>4</v>
      </c>
      <c r="C13" t="s">
        <v>7</v>
      </c>
      <c r="D13">
        <v>120</v>
      </c>
    </row>
    <row r="14" spans="1:4" x14ac:dyDescent="0.45">
      <c r="A14" s="2">
        <v>46412</v>
      </c>
      <c r="B14" t="s">
        <v>4</v>
      </c>
      <c r="C14" t="s">
        <v>7</v>
      </c>
      <c r="D14">
        <v>120</v>
      </c>
    </row>
    <row r="15" spans="1:4" x14ac:dyDescent="0.45">
      <c r="A15" s="2">
        <v>46443</v>
      </c>
      <c r="B15" t="s">
        <v>4</v>
      </c>
      <c r="C15" t="s">
        <v>7</v>
      </c>
      <c r="D15">
        <v>120</v>
      </c>
    </row>
    <row r="16" spans="1:4" x14ac:dyDescent="0.45">
      <c r="A16" s="2">
        <v>46471</v>
      </c>
      <c r="B16" t="s">
        <v>4</v>
      </c>
      <c r="C16" t="s">
        <v>7</v>
      </c>
      <c r="D16">
        <v>120</v>
      </c>
    </row>
    <row r="17" spans="1:4" x14ac:dyDescent="0.45">
      <c r="A17" s="2">
        <v>46503</v>
      </c>
      <c r="B17" t="s">
        <v>4</v>
      </c>
      <c r="C17" t="s">
        <v>7</v>
      </c>
      <c r="D17">
        <v>120</v>
      </c>
    </row>
    <row r="18" spans="1:4" x14ac:dyDescent="0.45">
      <c r="A18" s="2">
        <v>46533</v>
      </c>
      <c r="B18" t="s">
        <v>4</v>
      </c>
      <c r="C18" t="s">
        <v>7</v>
      </c>
      <c r="D18">
        <v>120</v>
      </c>
    </row>
    <row r="19" spans="1:4" x14ac:dyDescent="0.45">
      <c r="A19" s="2">
        <v>46564</v>
      </c>
      <c r="B19" t="s">
        <v>4</v>
      </c>
      <c r="C19" t="s">
        <v>7</v>
      </c>
      <c r="D19">
        <v>120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398A-FB05-4C59-B8B9-5B62743C63E4}">
  <dimension ref="A1:D2"/>
  <sheetViews>
    <sheetView workbookViewId="0">
      <selection activeCell="D2" sqref="D2"/>
    </sheetView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2">
        <v>46047</v>
      </c>
      <c r="B2" t="s">
        <v>4</v>
      </c>
      <c r="C2" t="s">
        <v>6</v>
      </c>
      <c r="D2">
        <v>50</v>
      </c>
    </row>
  </sheetData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1E98-C0A5-4DE4-BA5B-A5D37FEB1122}">
  <dimension ref="A1:D19"/>
  <sheetViews>
    <sheetView workbookViewId="0">
      <selection activeCell="D19" sqref="D2:D19"/>
    </sheetView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2">
        <v>46048</v>
      </c>
      <c r="B2" t="s">
        <v>4</v>
      </c>
      <c r="C2" t="s">
        <v>8</v>
      </c>
      <c r="D2">
        <v>100</v>
      </c>
    </row>
    <row r="3" spans="1:4" x14ac:dyDescent="0.45">
      <c r="A3" s="2">
        <v>46079</v>
      </c>
      <c r="B3" t="s">
        <v>4</v>
      </c>
      <c r="C3" t="s">
        <v>8</v>
      </c>
      <c r="D3">
        <v>100</v>
      </c>
    </row>
    <row r="4" spans="1:4" x14ac:dyDescent="0.45">
      <c r="A4" s="2">
        <v>46107</v>
      </c>
      <c r="B4" t="s">
        <v>4</v>
      </c>
      <c r="C4" t="s">
        <v>8</v>
      </c>
      <c r="D4">
        <v>100</v>
      </c>
    </row>
    <row r="5" spans="1:4" x14ac:dyDescent="0.45">
      <c r="A5" s="2">
        <v>46137</v>
      </c>
      <c r="B5" t="s">
        <v>4</v>
      </c>
      <c r="C5" t="s">
        <v>8</v>
      </c>
      <c r="D5">
        <v>150</v>
      </c>
    </row>
    <row r="6" spans="1:4" x14ac:dyDescent="0.45">
      <c r="A6" s="2">
        <v>46167</v>
      </c>
      <c r="B6" t="s">
        <v>4</v>
      </c>
      <c r="C6" t="s">
        <v>8</v>
      </c>
      <c r="D6">
        <v>150</v>
      </c>
    </row>
    <row r="7" spans="1:4" x14ac:dyDescent="0.45">
      <c r="A7" s="2">
        <v>46198</v>
      </c>
      <c r="B7" t="s">
        <v>4</v>
      </c>
      <c r="C7" t="s">
        <v>8</v>
      </c>
      <c r="D7">
        <v>200</v>
      </c>
    </row>
    <row r="8" spans="1:4" x14ac:dyDescent="0.45">
      <c r="A8" s="2">
        <v>46228</v>
      </c>
      <c r="B8" t="s">
        <v>4</v>
      </c>
      <c r="C8" t="s">
        <v>8</v>
      </c>
      <c r="D8">
        <v>250</v>
      </c>
    </row>
    <row r="9" spans="1:4" x14ac:dyDescent="0.45">
      <c r="A9" s="2">
        <v>46259</v>
      </c>
      <c r="B9" t="s">
        <v>4</v>
      </c>
      <c r="C9" t="s">
        <v>8</v>
      </c>
      <c r="D9">
        <v>250</v>
      </c>
    </row>
    <row r="10" spans="1:4" x14ac:dyDescent="0.45">
      <c r="A10" s="2">
        <v>46290</v>
      </c>
      <c r="B10" t="s">
        <v>4</v>
      </c>
      <c r="C10" t="s">
        <v>8</v>
      </c>
      <c r="D10">
        <v>250</v>
      </c>
    </row>
    <row r="11" spans="1:4" x14ac:dyDescent="0.45">
      <c r="A11" s="2">
        <v>46320</v>
      </c>
      <c r="B11" t="s">
        <v>4</v>
      </c>
      <c r="C11" t="s">
        <v>8</v>
      </c>
      <c r="D11">
        <v>250</v>
      </c>
    </row>
    <row r="12" spans="1:4" x14ac:dyDescent="0.45">
      <c r="A12" s="2">
        <v>46351</v>
      </c>
      <c r="B12" t="s">
        <v>4</v>
      </c>
      <c r="C12" t="s">
        <v>8</v>
      </c>
      <c r="D12">
        <v>230</v>
      </c>
    </row>
    <row r="13" spans="1:4" x14ac:dyDescent="0.45">
      <c r="A13" s="2">
        <v>46381</v>
      </c>
      <c r="B13" t="s">
        <v>4</v>
      </c>
      <c r="C13" t="s">
        <v>8</v>
      </c>
      <c r="D13">
        <v>230</v>
      </c>
    </row>
    <row r="14" spans="1:4" x14ac:dyDescent="0.45">
      <c r="A14" s="2">
        <v>46412</v>
      </c>
      <c r="B14" t="s">
        <v>4</v>
      </c>
      <c r="C14" t="s">
        <v>8</v>
      </c>
      <c r="D14">
        <v>0</v>
      </c>
    </row>
    <row r="15" spans="1:4" x14ac:dyDescent="0.45">
      <c r="A15" s="2">
        <v>46443</v>
      </c>
      <c r="B15" t="s">
        <v>4</v>
      </c>
      <c r="C15" t="s">
        <v>8</v>
      </c>
      <c r="D15">
        <v>0</v>
      </c>
    </row>
    <row r="16" spans="1:4" x14ac:dyDescent="0.45">
      <c r="A16" s="2">
        <v>46471</v>
      </c>
      <c r="B16" t="s">
        <v>4</v>
      </c>
      <c r="C16" t="s">
        <v>8</v>
      </c>
      <c r="D16">
        <v>0</v>
      </c>
    </row>
    <row r="17" spans="1:4" x14ac:dyDescent="0.45">
      <c r="A17" s="2">
        <v>46503</v>
      </c>
      <c r="B17" t="s">
        <v>4</v>
      </c>
      <c r="C17" t="s">
        <v>8</v>
      </c>
      <c r="D17">
        <v>0</v>
      </c>
    </row>
    <row r="18" spans="1:4" x14ac:dyDescent="0.45">
      <c r="A18" s="2">
        <v>46533</v>
      </c>
      <c r="B18" t="s">
        <v>4</v>
      </c>
      <c r="C18" t="s">
        <v>8</v>
      </c>
      <c r="D18">
        <v>0</v>
      </c>
    </row>
    <row r="19" spans="1:4" x14ac:dyDescent="0.45">
      <c r="A19" s="2">
        <v>46564</v>
      </c>
      <c r="B19" t="s">
        <v>4</v>
      </c>
      <c r="C19" t="s">
        <v>8</v>
      </c>
      <c r="D19">
        <v>0</v>
      </c>
    </row>
  </sheetData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BBB28-9AD1-4AA2-AC72-15F54AAF1B52}">
  <dimension ref="A1:D19"/>
  <sheetViews>
    <sheetView workbookViewId="0">
      <selection activeCell="D19" sqref="D2:D19"/>
    </sheetView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2">
        <v>46047</v>
      </c>
      <c r="B2" t="s">
        <v>4</v>
      </c>
      <c r="C2" t="s">
        <v>5</v>
      </c>
      <c r="D2">
        <v>0</v>
      </c>
    </row>
    <row r="3" spans="1:4" x14ac:dyDescent="0.45">
      <c r="A3" s="2">
        <v>46078</v>
      </c>
      <c r="B3" t="s">
        <v>4</v>
      </c>
      <c r="C3" t="s">
        <v>5</v>
      </c>
      <c r="D3">
        <v>0</v>
      </c>
    </row>
    <row r="4" spans="1:4" x14ac:dyDescent="0.45">
      <c r="A4" s="2">
        <v>46106</v>
      </c>
      <c r="B4" t="s">
        <v>4</v>
      </c>
      <c r="C4" t="s">
        <v>5</v>
      </c>
      <c r="D4">
        <v>0</v>
      </c>
    </row>
    <row r="5" spans="1:4" x14ac:dyDescent="0.45">
      <c r="A5" s="2">
        <v>46137</v>
      </c>
      <c r="B5" t="s">
        <v>4</v>
      </c>
      <c r="C5" t="s">
        <v>5</v>
      </c>
      <c r="D5">
        <v>50</v>
      </c>
    </row>
    <row r="6" spans="1:4" x14ac:dyDescent="0.45">
      <c r="A6" s="2">
        <v>46167</v>
      </c>
      <c r="B6" t="s">
        <v>4</v>
      </c>
      <c r="C6" t="s">
        <v>5</v>
      </c>
      <c r="D6">
        <v>50</v>
      </c>
    </row>
    <row r="7" spans="1:4" x14ac:dyDescent="0.45">
      <c r="A7" s="2">
        <v>46198</v>
      </c>
      <c r="B7" t="s">
        <v>4</v>
      </c>
      <c r="C7" t="s">
        <v>5</v>
      </c>
      <c r="D7">
        <v>60</v>
      </c>
    </row>
    <row r="8" spans="1:4" x14ac:dyDescent="0.45">
      <c r="A8" s="2">
        <v>46228</v>
      </c>
      <c r="B8" t="s">
        <v>4</v>
      </c>
      <c r="C8" t="s">
        <v>5</v>
      </c>
      <c r="D8">
        <v>90</v>
      </c>
    </row>
    <row r="9" spans="1:4" x14ac:dyDescent="0.45">
      <c r="A9" s="2">
        <v>46259</v>
      </c>
      <c r="B9" t="s">
        <v>4</v>
      </c>
      <c r="C9" t="s">
        <v>5</v>
      </c>
      <c r="D9">
        <v>130</v>
      </c>
    </row>
    <row r="10" spans="1:4" x14ac:dyDescent="0.45">
      <c r="A10" s="2">
        <v>46290</v>
      </c>
      <c r="B10" t="s">
        <v>4</v>
      </c>
      <c r="C10" t="s">
        <v>5</v>
      </c>
      <c r="D10">
        <v>190</v>
      </c>
    </row>
    <row r="11" spans="1:4" x14ac:dyDescent="0.45">
      <c r="A11" s="2">
        <v>46320</v>
      </c>
      <c r="B11" t="s">
        <v>4</v>
      </c>
      <c r="C11" t="s">
        <v>5</v>
      </c>
      <c r="D11">
        <v>260</v>
      </c>
    </row>
    <row r="12" spans="1:4" x14ac:dyDescent="0.45">
      <c r="A12" s="2">
        <v>46351</v>
      </c>
      <c r="B12" t="s">
        <v>4</v>
      </c>
      <c r="C12" t="s">
        <v>5</v>
      </c>
      <c r="D12">
        <v>320</v>
      </c>
    </row>
    <row r="13" spans="1:4" x14ac:dyDescent="0.45">
      <c r="A13" s="2">
        <v>46381</v>
      </c>
      <c r="B13" t="s">
        <v>4</v>
      </c>
      <c r="C13" t="s">
        <v>5</v>
      </c>
      <c r="D13">
        <v>300</v>
      </c>
    </row>
    <row r="14" spans="1:4" x14ac:dyDescent="0.45">
      <c r="A14" s="2">
        <v>46413</v>
      </c>
      <c r="B14" t="s">
        <v>4</v>
      </c>
      <c r="C14" t="s">
        <v>5</v>
      </c>
      <c r="D14">
        <v>250</v>
      </c>
    </row>
    <row r="15" spans="1:4" x14ac:dyDescent="0.45">
      <c r="A15" s="2">
        <v>46444</v>
      </c>
      <c r="B15" t="s">
        <v>4</v>
      </c>
      <c r="C15" t="s">
        <v>5</v>
      </c>
      <c r="D15">
        <v>210</v>
      </c>
    </row>
    <row r="16" spans="1:4" x14ac:dyDescent="0.45">
      <c r="A16" s="2">
        <v>46472</v>
      </c>
      <c r="B16" t="s">
        <v>4</v>
      </c>
      <c r="C16" t="s">
        <v>5</v>
      </c>
      <c r="D16">
        <v>170</v>
      </c>
    </row>
    <row r="17" spans="1:4" x14ac:dyDescent="0.45">
      <c r="A17" s="2">
        <v>46503</v>
      </c>
      <c r="B17" t="s">
        <v>4</v>
      </c>
      <c r="C17" t="s">
        <v>5</v>
      </c>
      <c r="D17">
        <v>130</v>
      </c>
    </row>
    <row r="18" spans="1:4" x14ac:dyDescent="0.45">
      <c r="A18" s="2">
        <v>46533</v>
      </c>
      <c r="B18" t="s">
        <v>4</v>
      </c>
      <c r="C18" t="s">
        <v>5</v>
      </c>
      <c r="D18">
        <v>100</v>
      </c>
    </row>
    <row r="19" spans="1:4" x14ac:dyDescent="0.45">
      <c r="A19" s="2">
        <v>46564</v>
      </c>
      <c r="B19" t="s">
        <v>4</v>
      </c>
      <c r="C19" t="s">
        <v>5</v>
      </c>
      <c r="D19">
        <v>80</v>
      </c>
    </row>
  </sheetData>
  <phoneticPr fontId="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460C-504B-4A12-A52E-9D9EF01576D3}">
  <sheetPr filterMode="1"/>
  <dimension ref="A1:D92"/>
  <sheetViews>
    <sheetView zoomScaleNormal="100" workbookViewId="0">
      <selection activeCell="D3" sqref="A1:D3"/>
    </sheetView>
  </sheetViews>
  <sheetFormatPr defaultRowHeight="18" x14ac:dyDescent="0.45"/>
  <cols>
    <col min="1" max="1" width="11.09765625" bestFit="1" customWidth="1"/>
    <col min="3" max="3" width="12.89843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hidden="1" x14ac:dyDescent="0.45">
      <c r="A2" s="2">
        <v>46047</v>
      </c>
      <c r="B2" t="s">
        <v>4</v>
      </c>
      <c r="C2" t="s">
        <v>5</v>
      </c>
      <c r="D2">
        <v>0</v>
      </c>
    </row>
    <row r="3" spans="1:4" x14ac:dyDescent="0.45">
      <c r="A3" s="2">
        <v>46047</v>
      </c>
      <c r="B3" t="s">
        <v>4</v>
      </c>
      <c r="C3" t="s">
        <v>6</v>
      </c>
      <c r="D3">
        <v>50</v>
      </c>
    </row>
    <row r="4" spans="1:4" hidden="1" x14ac:dyDescent="0.45">
      <c r="A4" s="2">
        <v>46048</v>
      </c>
      <c r="B4" t="s">
        <v>4</v>
      </c>
      <c r="C4" t="s">
        <v>8</v>
      </c>
      <c r="D4">
        <v>100</v>
      </c>
    </row>
    <row r="5" spans="1:4" hidden="1" x14ac:dyDescent="0.45">
      <c r="A5" s="2">
        <v>46078</v>
      </c>
      <c r="B5" t="s">
        <v>4</v>
      </c>
      <c r="C5" t="s">
        <v>5</v>
      </c>
      <c r="D5">
        <v>0</v>
      </c>
    </row>
    <row r="6" spans="1:4" hidden="1" x14ac:dyDescent="0.45">
      <c r="A6" s="2">
        <v>46079</v>
      </c>
      <c r="B6" t="s">
        <v>4</v>
      </c>
      <c r="C6" t="s">
        <v>8</v>
      </c>
      <c r="D6">
        <v>100</v>
      </c>
    </row>
    <row r="7" spans="1:4" hidden="1" x14ac:dyDescent="0.45">
      <c r="A7" s="2">
        <v>46106</v>
      </c>
      <c r="B7" t="s">
        <v>4</v>
      </c>
      <c r="C7" t="s">
        <v>5</v>
      </c>
      <c r="D7">
        <v>0</v>
      </c>
    </row>
    <row r="8" spans="1:4" hidden="1" x14ac:dyDescent="0.45">
      <c r="A8" s="2">
        <v>46107</v>
      </c>
      <c r="B8" t="s">
        <v>4</v>
      </c>
      <c r="C8" t="s">
        <v>8</v>
      </c>
      <c r="D8">
        <v>100</v>
      </c>
    </row>
    <row r="9" spans="1:4" hidden="1" x14ac:dyDescent="0.45">
      <c r="A9" s="2">
        <v>46137</v>
      </c>
      <c r="B9" t="s">
        <v>4</v>
      </c>
      <c r="C9" t="s">
        <v>5</v>
      </c>
      <c r="D9">
        <v>50</v>
      </c>
    </row>
    <row r="10" spans="1:4" hidden="1" x14ac:dyDescent="0.45">
      <c r="A10" s="2">
        <v>46137</v>
      </c>
      <c r="B10" t="s">
        <v>4</v>
      </c>
      <c r="C10" t="s">
        <v>8</v>
      </c>
      <c r="D10">
        <v>150</v>
      </c>
    </row>
    <row r="11" spans="1:4" hidden="1" x14ac:dyDescent="0.45">
      <c r="A11" s="2">
        <v>46167</v>
      </c>
      <c r="B11" t="s">
        <v>4</v>
      </c>
      <c r="C11" t="s">
        <v>5</v>
      </c>
      <c r="D11">
        <v>50</v>
      </c>
    </row>
    <row r="12" spans="1:4" hidden="1" x14ac:dyDescent="0.45">
      <c r="A12" s="2">
        <v>46167</v>
      </c>
      <c r="B12" t="s">
        <v>4</v>
      </c>
      <c r="C12" t="s">
        <v>8</v>
      </c>
      <c r="D12">
        <v>150</v>
      </c>
    </row>
    <row r="13" spans="1:4" hidden="1" x14ac:dyDescent="0.45">
      <c r="A13" s="2">
        <v>46198</v>
      </c>
      <c r="B13" t="s">
        <v>4</v>
      </c>
      <c r="C13" t="s">
        <v>5</v>
      </c>
      <c r="D13">
        <v>60</v>
      </c>
    </row>
    <row r="14" spans="1:4" hidden="1" x14ac:dyDescent="0.45">
      <c r="A14" s="2">
        <v>46198</v>
      </c>
      <c r="B14" t="s">
        <v>4</v>
      </c>
      <c r="C14" t="s">
        <v>8</v>
      </c>
      <c r="D14">
        <v>200</v>
      </c>
    </row>
    <row r="15" spans="1:4" hidden="1" x14ac:dyDescent="0.45">
      <c r="A15" s="2">
        <v>46228</v>
      </c>
      <c r="B15" t="s">
        <v>4</v>
      </c>
      <c r="C15" t="s">
        <v>5</v>
      </c>
      <c r="D15">
        <v>90</v>
      </c>
    </row>
    <row r="16" spans="1:4" hidden="1" x14ac:dyDescent="0.45">
      <c r="A16" s="2">
        <v>46228</v>
      </c>
      <c r="B16" t="s">
        <v>4</v>
      </c>
      <c r="C16" t="s">
        <v>8</v>
      </c>
      <c r="D16">
        <v>250</v>
      </c>
    </row>
    <row r="17" spans="1:4" hidden="1" x14ac:dyDescent="0.45">
      <c r="A17" s="2">
        <v>46259</v>
      </c>
      <c r="B17" t="s">
        <v>4</v>
      </c>
      <c r="C17" t="s">
        <v>5</v>
      </c>
      <c r="D17">
        <v>130</v>
      </c>
    </row>
    <row r="18" spans="1:4" hidden="1" x14ac:dyDescent="0.45">
      <c r="A18" s="2">
        <v>46259</v>
      </c>
      <c r="B18" t="s">
        <v>4</v>
      </c>
      <c r="C18" t="s">
        <v>8</v>
      </c>
      <c r="D18">
        <v>250</v>
      </c>
    </row>
    <row r="19" spans="1:4" hidden="1" x14ac:dyDescent="0.45">
      <c r="A19" s="2">
        <v>46290</v>
      </c>
      <c r="B19" t="s">
        <v>4</v>
      </c>
      <c r="C19" t="s">
        <v>5</v>
      </c>
      <c r="D19">
        <v>190</v>
      </c>
    </row>
    <row r="20" spans="1:4" hidden="1" x14ac:dyDescent="0.45">
      <c r="A20" s="2">
        <v>46290</v>
      </c>
      <c r="B20" t="s">
        <v>4</v>
      </c>
      <c r="C20" t="s">
        <v>8</v>
      </c>
      <c r="D20">
        <v>250</v>
      </c>
    </row>
    <row r="21" spans="1:4" hidden="1" x14ac:dyDescent="0.45">
      <c r="A21" s="2">
        <v>46320</v>
      </c>
      <c r="B21" t="s">
        <v>4</v>
      </c>
      <c r="C21" t="s">
        <v>5</v>
      </c>
      <c r="D21">
        <v>260</v>
      </c>
    </row>
    <row r="22" spans="1:4" hidden="1" x14ac:dyDescent="0.45">
      <c r="A22" s="2">
        <v>46320</v>
      </c>
      <c r="B22" t="s">
        <v>4</v>
      </c>
      <c r="C22" t="s">
        <v>8</v>
      </c>
      <c r="D22">
        <v>250</v>
      </c>
    </row>
    <row r="23" spans="1:4" hidden="1" x14ac:dyDescent="0.45">
      <c r="A23" s="2">
        <v>46351</v>
      </c>
      <c r="B23" t="s">
        <v>4</v>
      </c>
      <c r="C23" t="s">
        <v>5</v>
      </c>
      <c r="D23">
        <v>320</v>
      </c>
    </row>
    <row r="24" spans="1:4" hidden="1" x14ac:dyDescent="0.45">
      <c r="A24" s="2">
        <v>46351</v>
      </c>
      <c r="B24" t="s">
        <v>4</v>
      </c>
      <c r="C24" t="s">
        <v>8</v>
      </c>
      <c r="D24">
        <v>230</v>
      </c>
    </row>
    <row r="25" spans="1:4" hidden="1" x14ac:dyDescent="0.45">
      <c r="A25" s="2">
        <v>46381</v>
      </c>
      <c r="B25" t="s">
        <v>4</v>
      </c>
      <c r="C25" t="s">
        <v>5</v>
      </c>
      <c r="D25">
        <v>300</v>
      </c>
    </row>
    <row r="26" spans="1:4" hidden="1" x14ac:dyDescent="0.45">
      <c r="A26" s="2">
        <v>46381</v>
      </c>
      <c r="B26" t="s">
        <v>4</v>
      </c>
      <c r="C26" t="s">
        <v>8</v>
      </c>
      <c r="D26">
        <v>230</v>
      </c>
    </row>
    <row r="27" spans="1:4" hidden="1" x14ac:dyDescent="0.45">
      <c r="A27" s="2">
        <v>46413</v>
      </c>
      <c r="B27" t="s">
        <v>4</v>
      </c>
      <c r="C27" t="s">
        <v>5</v>
      </c>
      <c r="D27">
        <v>250</v>
      </c>
    </row>
    <row r="28" spans="1:4" hidden="1" x14ac:dyDescent="0.45">
      <c r="A28" s="2">
        <v>46412</v>
      </c>
      <c r="B28" t="s">
        <v>4</v>
      </c>
      <c r="C28" t="s">
        <v>8</v>
      </c>
      <c r="D28">
        <v>0</v>
      </c>
    </row>
    <row r="29" spans="1:4" hidden="1" x14ac:dyDescent="0.45">
      <c r="A29" s="2">
        <v>46444</v>
      </c>
      <c r="B29" t="s">
        <v>4</v>
      </c>
      <c r="C29" t="s">
        <v>5</v>
      </c>
      <c r="D29">
        <v>210</v>
      </c>
    </row>
    <row r="30" spans="1:4" hidden="1" x14ac:dyDescent="0.45">
      <c r="A30" s="2">
        <v>46443</v>
      </c>
      <c r="B30" t="s">
        <v>4</v>
      </c>
      <c r="C30" t="s">
        <v>8</v>
      </c>
      <c r="D30">
        <v>0</v>
      </c>
    </row>
    <row r="31" spans="1:4" hidden="1" x14ac:dyDescent="0.45">
      <c r="A31" s="2">
        <v>46472</v>
      </c>
      <c r="B31" t="s">
        <v>4</v>
      </c>
      <c r="C31" t="s">
        <v>5</v>
      </c>
      <c r="D31">
        <v>170</v>
      </c>
    </row>
    <row r="32" spans="1:4" hidden="1" x14ac:dyDescent="0.45">
      <c r="A32" s="2">
        <v>46471</v>
      </c>
      <c r="B32" t="s">
        <v>4</v>
      </c>
      <c r="C32" t="s">
        <v>8</v>
      </c>
      <c r="D32">
        <v>0</v>
      </c>
    </row>
    <row r="33" spans="1:4" hidden="1" x14ac:dyDescent="0.45">
      <c r="A33" s="2">
        <v>46503</v>
      </c>
      <c r="B33" t="s">
        <v>4</v>
      </c>
      <c r="C33" t="s">
        <v>5</v>
      </c>
      <c r="D33">
        <v>130</v>
      </c>
    </row>
    <row r="34" spans="1:4" hidden="1" x14ac:dyDescent="0.45">
      <c r="A34" s="2">
        <v>46503</v>
      </c>
      <c r="B34" t="s">
        <v>4</v>
      </c>
      <c r="C34" t="s">
        <v>8</v>
      </c>
      <c r="D34">
        <v>0</v>
      </c>
    </row>
    <row r="35" spans="1:4" hidden="1" x14ac:dyDescent="0.45">
      <c r="A35" s="2">
        <v>46533</v>
      </c>
      <c r="B35" t="s">
        <v>4</v>
      </c>
      <c r="C35" t="s">
        <v>5</v>
      </c>
      <c r="D35">
        <v>100</v>
      </c>
    </row>
    <row r="36" spans="1:4" hidden="1" x14ac:dyDescent="0.45">
      <c r="A36" s="2">
        <v>46533</v>
      </c>
      <c r="B36" t="s">
        <v>4</v>
      </c>
      <c r="C36" t="s">
        <v>8</v>
      </c>
      <c r="D36">
        <v>0</v>
      </c>
    </row>
    <row r="37" spans="1:4" hidden="1" x14ac:dyDescent="0.45">
      <c r="A37" s="2">
        <v>46564</v>
      </c>
      <c r="B37" t="s">
        <v>4</v>
      </c>
      <c r="C37" t="s">
        <v>5</v>
      </c>
      <c r="D37">
        <v>80</v>
      </c>
    </row>
    <row r="38" spans="1:4" hidden="1" x14ac:dyDescent="0.45">
      <c r="A38" s="2">
        <v>46564</v>
      </c>
      <c r="B38" t="s">
        <v>4</v>
      </c>
      <c r="C38" t="s">
        <v>8</v>
      </c>
      <c r="D38">
        <v>0</v>
      </c>
    </row>
    <row r="39" spans="1:4" x14ac:dyDescent="0.45">
      <c r="A39" s="1"/>
      <c r="B39" s="1"/>
      <c r="C39" s="1"/>
      <c r="D39" s="1"/>
    </row>
    <row r="40" spans="1:4" x14ac:dyDescent="0.45">
      <c r="A40" s="1"/>
      <c r="B40" s="1"/>
      <c r="C40" s="1"/>
      <c r="D40" s="1"/>
    </row>
    <row r="41" spans="1:4" x14ac:dyDescent="0.45">
      <c r="A41" s="1"/>
      <c r="B41" s="1"/>
      <c r="C41" s="1"/>
      <c r="D41" s="1"/>
    </row>
    <row r="42" spans="1:4" x14ac:dyDescent="0.45">
      <c r="A42" s="1"/>
      <c r="B42" s="1"/>
      <c r="C42" s="1"/>
      <c r="D42" s="1"/>
    </row>
    <row r="43" spans="1:4" x14ac:dyDescent="0.45">
      <c r="A43" s="1"/>
      <c r="B43" s="1"/>
      <c r="C43" s="1"/>
      <c r="D43" s="1"/>
    </row>
    <row r="44" spans="1:4" x14ac:dyDescent="0.45">
      <c r="A44" s="1"/>
      <c r="B44" s="1"/>
      <c r="C44" s="1"/>
      <c r="D44" s="1"/>
    </row>
    <row r="45" spans="1:4" x14ac:dyDescent="0.45">
      <c r="A45" s="1"/>
      <c r="B45" s="1"/>
      <c r="C45" s="1"/>
      <c r="D45" s="1"/>
    </row>
    <row r="46" spans="1:4" x14ac:dyDescent="0.45">
      <c r="A46" s="1"/>
      <c r="B46" s="1"/>
      <c r="C46" s="1"/>
      <c r="D46" s="1"/>
    </row>
    <row r="47" spans="1:4" x14ac:dyDescent="0.45">
      <c r="A47" s="1"/>
      <c r="B47" s="1"/>
      <c r="C47" s="1"/>
      <c r="D47" s="1"/>
    </row>
    <row r="48" spans="1:4" x14ac:dyDescent="0.45">
      <c r="A48" s="1"/>
      <c r="B48" s="1"/>
      <c r="C48" s="1"/>
      <c r="D48" s="1"/>
    </row>
    <row r="49" spans="1:4" x14ac:dyDescent="0.45">
      <c r="A49" s="1"/>
      <c r="B49" s="1"/>
      <c r="C49" s="1"/>
      <c r="D49" s="1"/>
    </row>
    <row r="50" spans="1:4" x14ac:dyDescent="0.45">
      <c r="A50" s="1"/>
      <c r="B50" s="1"/>
      <c r="C50" s="1"/>
      <c r="D50" s="1"/>
    </row>
    <row r="51" spans="1:4" x14ac:dyDescent="0.45">
      <c r="A51" s="1"/>
      <c r="B51" s="1"/>
      <c r="C51" s="1"/>
      <c r="D51" s="1"/>
    </row>
    <row r="52" spans="1:4" x14ac:dyDescent="0.45">
      <c r="A52" s="1"/>
      <c r="B52" s="1"/>
      <c r="C52" s="1"/>
      <c r="D52" s="1"/>
    </row>
    <row r="53" spans="1:4" x14ac:dyDescent="0.45">
      <c r="A53" s="1"/>
      <c r="B53" s="1"/>
      <c r="C53" s="1"/>
      <c r="D53" s="1"/>
    </row>
    <row r="54" spans="1:4" x14ac:dyDescent="0.45">
      <c r="A54" s="1"/>
      <c r="B54" s="1"/>
      <c r="C54" s="1"/>
      <c r="D54" s="1"/>
    </row>
    <row r="55" spans="1:4" x14ac:dyDescent="0.45">
      <c r="A55" s="1"/>
      <c r="B55" s="1"/>
      <c r="C55" s="1"/>
      <c r="D55" s="1"/>
    </row>
    <row r="56" spans="1:4" x14ac:dyDescent="0.45">
      <c r="A56" s="1"/>
      <c r="B56" s="1"/>
      <c r="C56" s="1"/>
      <c r="D56" s="1"/>
    </row>
    <row r="57" spans="1:4" x14ac:dyDescent="0.45">
      <c r="A57" s="1"/>
      <c r="B57" s="1"/>
      <c r="C57" s="1"/>
      <c r="D57" s="1"/>
    </row>
    <row r="58" spans="1:4" x14ac:dyDescent="0.45">
      <c r="A58" s="1"/>
      <c r="B58" s="1"/>
      <c r="C58" s="1"/>
      <c r="D58" s="1"/>
    </row>
    <row r="59" spans="1:4" x14ac:dyDescent="0.45">
      <c r="A59" s="1"/>
      <c r="B59" s="1"/>
      <c r="C59" s="1"/>
      <c r="D59" s="1"/>
    </row>
    <row r="60" spans="1:4" x14ac:dyDescent="0.45">
      <c r="A60" s="1"/>
      <c r="B60" s="1"/>
      <c r="C60" s="1"/>
      <c r="D60" s="1"/>
    </row>
    <row r="61" spans="1:4" x14ac:dyDescent="0.45">
      <c r="A61" s="1"/>
      <c r="B61" s="1"/>
      <c r="C61" s="1"/>
      <c r="D61" s="1"/>
    </row>
    <row r="62" spans="1:4" x14ac:dyDescent="0.45">
      <c r="A62" s="1"/>
      <c r="B62" s="1"/>
      <c r="C62" s="1"/>
      <c r="D62" s="1"/>
    </row>
    <row r="63" spans="1:4" x14ac:dyDescent="0.45">
      <c r="A63" s="1"/>
      <c r="B63" s="1"/>
      <c r="C63" s="1"/>
      <c r="D63" s="1"/>
    </row>
    <row r="64" spans="1:4" x14ac:dyDescent="0.45">
      <c r="A64" s="1"/>
      <c r="B64" s="1"/>
      <c r="C64" s="1"/>
      <c r="D64" s="1"/>
    </row>
    <row r="65" spans="1:4" x14ac:dyDescent="0.45">
      <c r="A65" s="1"/>
      <c r="B65" s="1"/>
      <c r="C65" s="1"/>
      <c r="D65" s="1"/>
    </row>
    <row r="66" spans="1:4" x14ac:dyDescent="0.45">
      <c r="A66" s="1"/>
      <c r="B66" s="1"/>
      <c r="C66" s="1"/>
      <c r="D66" s="1"/>
    </row>
    <row r="67" spans="1:4" x14ac:dyDescent="0.45">
      <c r="A67" s="1"/>
      <c r="B67" s="1"/>
      <c r="C67" s="1"/>
      <c r="D67" s="1"/>
    </row>
    <row r="68" spans="1:4" x14ac:dyDescent="0.45">
      <c r="A68" s="1"/>
      <c r="B68" s="1"/>
      <c r="C68" s="1"/>
      <c r="D68" s="1"/>
    </row>
    <row r="69" spans="1:4" x14ac:dyDescent="0.45">
      <c r="A69" s="1"/>
      <c r="B69" s="1"/>
      <c r="C69" s="1"/>
      <c r="D69" s="1"/>
    </row>
    <row r="70" spans="1:4" x14ac:dyDescent="0.45">
      <c r="A70" s="1"/>
      <c r="B70" s="1"/>
      <c r="C70" s="1"/>
      <c r="D70" s="1"/>
    </row>
    <row r="71" spans="1:4" x14ac:dyDescent="0.45">
      <c r="A71" s="1"/>
      <c r="B71" s="1"/>
      <c r="C71" s="1"/>
      <c r="D71" s="1"/>
    </row>
    <row r="72" spans="1:4" x14ac:dyDescent="0.45">
      <c r="A72" s="1"/>
      <c r="B72" s="1"/>
      <c r="C72" s="1"/>
      <c r="D72" s="1"/>
    </row>
    <row r="73" spans="1:4" x14ac:dyDescent="0.45">
      <c r="A73" s="1"/>
      <c r="B73" s="1"/>
      <c r="C73" s="1"/>
      <c r="D73" s="1"/>
    </row>
    <row r="74" spans="1:4" x14ac:dyDescent="0.45">
      <c r="A74" s="1"/>
      <c r="B74" s="1"/>
      <c r="C74" s="1"/>
      <c r="D74" s="1"/>
    </row>
    <row r="75" spans="1:4" x14ac:dyDescent="0.45">
      <c r="A75" s="1"/>
      <c r="B75" s="1"/>
      <c r="C75" s="1"/>
      <c r="D75" s="1"/>
    </row>
    <row r="76" spans="1:4" x14ac:dyDescent="0.45">
      <c r="A76" s="1"/>
      <c r="B76" s="1"/>
      <c r="C76" s="1"/>
      <c r="D76" s="1"/>
    </row>
    <row r="77" spans="1:4" x14ac:dyDescent="0.45">
      <c r="A77" s="1"/>
      <c r="B77" s="1"/>
      <c r="C77" s="1"/>
      <c r="D77" s="1"/>
    </row>
    <row r="78" spans="1:4" x14ac:dyDescent="0.45">
      <c r="A78" s="1"/>
      <c r="B78" s="1"/>
      <c r="C78" s="1"/>
      <c r="D78" s="1"/>
    </row>
    <row r="79" spans="1:4" x14ac:dyDescent="0.45">
      <c r="A79" s="1"/>
      <c r="B79" s="1"/>
      <c r="C79" s="1"/>
      <c r="D79" s="1"/>
    </row>
    <row r="80" spans="1:4" x14ac:dyDescent="0.45">
      <c r="A80" s="1"/>
      <c r="B80" s="1"/>
      <c r="C80" s="1"/>
      <c r="D80" s="1"/>
    </row>
    <row r="81" spans="1:4" x14ac:dyDescent="0.45">
      <c r="A81" s="1"/>
      <c r="B81" s="1"/>
      <c r="C81" s="1"/>
      <c r="D81" s="1"/>
    </row>
    <row r="82" spans="1:4" x14ac:dyDescent="0.45">
      <c r="A82" s="1"/>
      <c r="B82" s="1"/>
      <c r="C82" s="1"/>
      <c r="D82" s="1"/>
    </row>
    <row r="83" spans="1:4" x14ac:dyDescent="0.45">
      <c r="A83" s="1"/>
      <c r="B83" s="1"/>
      <c r="C83" s="1"/>
      <c r="D83" s="1"/>
    </row>
    <row r="84" spans="1:4" x14ac:dyDescent="0.45">
      <c r="A84" s="1"/>
      <c r="B84" s="1"/>
      <c r="C84" s="1"/>
      <c r="D84" s="1"/>
    </row>
    <row r="85" spans="1:4" x14ac:dyDescent="0.45">
      <c r="A85" s="1"/>
      <c r="B85" s="1"/>
      <c r="C85" s="1"/>
      <c r="D85" s="1"/>
    </row>
    <row r="86" spans="1:4" x14ac:dyDescent="0.45">
      <c r="A86" s="1"/>
      <c r="B86" s="1"/>
      <c r="C86" s="1"/>
      <c r="D86" s="1"/>
    </row>
    <row r="87" spans="1:4" x14ac:dyDescent="0.45">
      <c r="A87" s="1"/>
      <c r="B87" s="1"/>
      <c r="C87" s="1"/>
      <c r="D87" s="1"/>
    </row>
    <row r="88" spans="1:4" x14ac:dyDescent="0.45">
      <c r="A88" s="1"/>
      <c r="B88" s="1"/>
      <c r="C88" s="1"/>
      <c r="D88" s="1"/>
    </row>
    <row r="89" spans="1:4" x14ac:dyDescent="0.45">
      <c r="A89" s="1"/>
      <c r="B89" s="1"/>
      <c r="C89" s="1"/>
      <c r="D89" s="1"/>
    </row>
    <row r="90" spans="1:4" x14ac:dyDescent="0.45">
      <c r="A90" s="1"/>
      <c r="B90" s="1"/>
      <c r="C90" s="1"/>
      <c r="D90" s="1"/>
    </row>
    <row r="91" spans="1:4" x14ac:dyDescent="0.45">
      <c r="A91" s="1"/>
      <c r="B91" s="1"/>
      <c r="C91" s="1"/>
      <c r="D91" s="1"/>
    </row>
    <row r="92" spans="1:4" x14ac:dyDescent="0.45">
      <c r="A92" s="1"/>
      <c r="B92" s="1"/>
      <c r="C92" s="1"/>
      <c r="D92" s="1"/>
    </row>
  </sheetData>
  <autoFilter ref="A1:D38" xr:uid="{0BAD460C-504B-4A12-A52E-9D9EF01576D3}">
    <filterColumn colId="2">
      <filters>
        <filter val="initial_inventory"/>
      </filters>
    </filterColumn>
    <sortState xmlns:xlrd2="http://schemas.microsoft.com/office/spreadsheetml/2017/richdata2" ref="A4:D38">
      <sortCondition ref="A1:A38"/>
    </sortState>
  </autoFilter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FA8B-CE34-4A39-AF74-5F2E9131CAE1}">
  <sheetPr filterMode="1"/>
  <dimension ref="A1:D93"/>
  <sheetViews>
    <sheetView workbookViewId="0">
      <selection activeCell="A2" sqref="A2:D90"/>
    </sheetView>
  </sheetViews>
  <sheetFormatPr defaultRowHeight="18" x14ac:dyDescent="0.45"/>
  <cols>
    <col min="1" max="1" width="11.09765625" bestFit="1" customWidth="1"/>
    <col min="3" max="3" width="12.89843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v>46047</v>
      </c>
      <c r="B2" t="s">
        <v>4</v>
      </c>
      <c r="C2" t="s">
        <v>5</v>
      </c>
      <c r="D2">
        <v>0</v>
      </c>
    </row>
    <row r="3" spans="1:4" x14ac:dyDescent="0.45">
      <c r="A3" s="1">
        <v>46047</v>
      </c>
      <c r="B3" t="s">
        <v>4</v>
      </c>
      <c r="C3" t="s">
        <v>6</v>
      </c>
      <c r="D3">
        <v>50</v>
      </c>
    </row>
    <row r="4" spans="1:4" hidden="1" x14ac:dyDescent="0.45">
      <c r="A4" s="1">
        <v>46047</v>
      </c>
      <c r="B4" t="s">
        <v>4</v>
      </c>
      <c r="C4" t="s">
        <v>7</v>
      </c>
      <c r="D4">
        <v>120</v>
      </c>
    </row>
    <row r="5" spans="1:4" x14ac:dyDescent="0.45">
      <c r="A5" s="1">
        <v>46047</v>
      </c>
      <c r="B5" t="s">
        <v>4</v>
      </c>
      <c r="C5" t="s">
        <v>8</v>
      </c>
      <c r="D5">
        <v>0</v>
      </c>
    </row>
    <row r="6" spans="1:4" hidden="1" x14ac:dyDescent="0.45">
      <c r="A6" s="1">
        <v>46047</v>
      </c>
      <c r="B6" t="s">
        <v>4</v>
      </c>
      <c r="C6" t="s">
        <v>9</v>
      </c>
      <c r="D6">
        <v>400</v>
      </c>
    </row>
    <row r="7" spans="1:4" hidden="1" x14ac:dyDescent="0.45">
      <c r="A7" s="1">
        <v>46047</v>
      </c>
      <c r="B7" t="s">
        <v>4</v>
      </c>
      <c r="C7" t="s">
        <v>10</v>
      </c>
      <c r="D7">
        <v>1000</v>
      </c>
    </row>
    <row r="8" spans="1:4" x14ac:dyDescent="0.45">
      <c r="A8" s="1">
        <v>46048</v>
      </c>
      <c r="B8" t="s">
        <v>4</v>
      </c>
      <c r="C8" t="s">
        <v>5</v>
      </c>
      <c r="D8">
        <v>250</v>
      </c>
    </row>
    <row r="9" spans="1:4" hidden="1" x14ac:dyDescent="0.45">
      <c r="A9" s="1">
        <v>46048</v>
      </c>
      <c r="B9" t="s">
        <v>4</v>
      </c>
      <c r="C9" t="s">
        <v>7</v>
      </c>
      <c r="D9">
        <v>120</v>
      </c>
    </row>
    <row r="10" spans="1:4" x14ac:dyDescent="0.45">
      <c r="A10" s="1">
        <v>46048</v>
      </c>
      <c r="B10" t="s">
        <v>4</v>
      </c>
      <c r="C10" t="s">
        <v>8</v>
      </c>
      <c r="D10">
        <v>100</v>
      </c>
    </row>
    <row r="11" spans="1:4" hidden="1" x14ac:dyDescent="0.45">
      <c r="A11" s="1">
        <v>46048</v>
      </c>
      <c r="B11" t="s">
        <v>4</v>
      </c>
      <c r="C11" t="s">
        <v>9</v>
      </c>
      <c r="D11">
        <v>400</v>
      </c>
    </row>
    <row r="12" spans="1:4" hidden="1" x14ac:dyDescent="0.45">
      <c r="A12" s="1">
        <v>46048</v>
      </c>
      <c r="B12" t="s">
        <v>4</v>
      </c>
      <c r="C12" t="s">
        <v>10</v>
      </c>
      <c r="D12">
        <v>1000</v>
      </c>
    </row>
    <row r="13" spans="1:4" x14ac:dyDescent="0.45">
      <c r="A13" s="1">
        <v>46078</v>
      </c>
      <c r="B13" t="s">
        <v>4</v>
      </c>
      <c r="C13" t="s">
        <v>5</v>
      </c>
      <c r="D13">
        <v>0</v>
      </c>
    </row>
    <row r="14" spans="1:4" hidden="1" x14ac:dyDescent="0.45">
      <c r="A14" s="1">
        <v>46078</v>
      </c>
      <c r="B14" t="s">
        <v>4</v>
      </c>
      <c r="C14" t="s">
        <v>7</v>
      </c>
      <c r="D14">
        <v>120</v>
      </c>
    </row>
    <row r="15" spans="1:4" x14ac:dyDescent="0.45">
      <c r="A15" s="1">
        <v>46078</v>
      </c>
      <c r="B15" t="s">
        <v>4</v>
      </c>
      <c r="C15" t="s">
        <v>8</v>
      </c>
      <c r="D15">
        <v>0</v>
      </c>
    </row>
    <row r="16" spans="1:4" hidden="1" x14ac:dyDescent="0.45">
      <c r="A16" s="1">
        <v>46078</v>
      </c>
      <c r="B16" t="s">
        <v>4</v>
      </c>
      <c r="C16" t="s">
        <v>9</v>
      </c>
      <c r="D16">
        <v>400</v>
      </c>
    </row>
    <row r="17" spans="1:4" hidden="1" x14ac:dyDescent="0.45">
      <c r="A17" s="1">
        <v>46078</v>
      </c>
      <c r="B17" t="s">
        <v>4</v>
      </c>
      <c r="C17" t="s">
        <v>10</v>
      </c>
      <c r="D17">
        <v>1000</v>
      </c>
    </row>
    <row r="18" spans="1:4" x14ac:dyDescent="0.45">
      <c r="A18" s="1">
        <v>46079</v>
      </c>
      <c r="B18" t="s">
        <v>4</v>
      </c>
      <c r="C18" t="s">
        <v>5</v>
      </c>
      <c r="D18">
        <v>210</v>
      </c>
    </row>
    <row r="19" spans="1:4" hidden="1" x14ac:dyDescent="0.45">
      <c r="A19" s="1">
        <v>46079</v>
      </c>
      <c r="B19" t="s">
        <v>4</v>
      </c>
      <c r="C19" t="s">
        <v>7</v>
      </c>
      <c r="D19">
        <v>120</v>
      </c>
    </row>
    <row r="20" spans="1:4" x14ac:dyDescent="0.45">
      <c r="A20" s="1">
        <v>46079</v>
      </c>
      <c r="B20" t="s">
        <v>4</v>
      </c>
      <c r="C20" t="s">
        <v>8</v>
      </c>
      <c r="D20">
        <v>100</v>
      </c>
    </row>
    <row r="21" spans="1:4" hidden="1" x14ac:dyDescent="0.45">
      <c r="A21" s="1">
        <v>46079</v>
      </c>
      <c r="B21" t="s">
        <v>4</v>
      </c>
      <c r="C21" t="s">
        <v>9</v>
      </c>
      <c r="D21">
        <v>400</v>
      </c>
    </row>
    <row r="22" spans="1:4" hidden="1" x14ac:dyDescent="0.45">
      <c r="A22" s="1">
        <v>46079</v>
      </c>
      <c r="B22" t="s">
        <v>4</v>
      </c>
      <c r="C22" t="s">
        <v>10</v>
      </c>
      <c r="D22">
        <v>1000</v>
      </c>
    </row>
    <row r="23" spans="1:4" x14ac:dyDescent="0.45">
      <c r="A23" s="1">
        <v>46106</v>
      </c>
      <c r="B23" t="s">
        <v>4</v>
      </c>
      <c r="C23" t="s">
        <v>5</v>
      </c>
      <c r="D23">
        <v>0</v>
      </c>
    </row>
    <row r="24" spans="1:4" hidden="1" x14ac:dyDescent="0.45">
      <c r="A24" s="1">
        <v>46106</v>
      </c>
      <c r="B24" t="s">
        <v>4</v>
      </c>
      <c r="C24" t="s">
        <v>7</v>
      </c>
      <c r="D24">
        <v>120</v>
      </c>
    </row>
    <row r="25" spans="1:4" x14ac:dyDescent="0.45">
      <c r="A25" s="1">
        <v>46106</v>
      </c>
      <c r="B25" t="s">
        <v>4</v>
      </c>
      <c r="C25" t="s">
        <v>8</v>
      </c>
      <c r="D25">
        <v>0</v>
      </c>
    </row>
    <row r="26" spans="1:4" hidden="1" x14ac:dyDescent="0.45">
      <c r="A26" s="1">
        <v>46106</v>
      </c>
      <c r="B26" t="s">
        <v>4</v>
      </c>
      <c r="C26" t="s">
        <v>9</v>
      </c>
      <c r="D26">
        <v>400</v>
      </c>
    </row>
    <row r="27" spans="1:4" hidden="1" x14ac:dyDescent="0.45">
      <c r="A27" s="1">
        <v>46106</v>
      </c>
      <c r="B27" t="s">
        <v>4</v>
      </c>
      <c r="C27" t="s">
        <v>10</v>
      </c>
      <c r="D27">
        <v>1000</v>
      </c>
    </row>
    <row r="28" spans="1:4" x14ac:dyDescent="0.45">
      <c r="A28" s="1">
        <v>46107</v>
      </c>
      <c r="B28" t="s">
        <v>4</v>
      </c>
      <c r="C28" t="s">
        <v>5</v>
      </c>
      <c r="D28">
        <v>170</v>
      </c>
    </row>
    <row r="29" spans="1:4" hidden="1" x14ac:dyDescent="0.45">
      <c r="A29" s="1">
        <v>46107</v>
      </c>
      <c r="B29" t="s">
        <v>4</v>
      </c>
      <c r="C29" t="s">
        <v>7</v>
      </c>
      <c r="D29">
        <v>120</v>
      </c>
    </row>
    <row r="30" spans="1:4" x14ac:dyDescent="0.45">
      <c r="A30" s="1">
        <v>46107</v>
      </c>
      <c r="B30" t="s">
        <v>4</v>
      </c>
      <c r="C30" t="s">
        <v>8</v>
      </c>
      <c r="D30">
        <v>100</v>
      </c>
    </row>
    <row r="31" spans="1:4" hidden="1" x14ac:dyDescent="0.45">
      <c r="A31" s="1">
        <v>46107</v>
      </c>
      <c r="B31" t="s">
        <v>4</v>
      </c>
      <c r="C31" t="s">
        <v>9</v>
      </c>
      <c r="D31">
        <v>400</v>
      </c>
    </row>
    <row r="32" spans="1:4" hidden="1" x14ac:dyDescent="0.45">
      <c r="A32" s="1">
        <v>46107</v>
      </c>
      <c r="B32" t="s">
        <v>4</v>
      </c>
      <c r="C32" t="s">
        <v>10</v>
      </c>
      <c r="D32">
        <v>1000</v>
      </c>
    </row>
    <row r="33" spans="1:4" x14ac:dyDescent="0.45">
      <c r="A33" s="1">
        <v>46137</v>
      </c>
      <c r="B33" t="s">
        <v>4</v>
      </c>
      <c r="C33" t="s">
        <v>5</v>
      </c>
      <c r="D33">
        <v>50</v>
      </c>
    </row>
    <row r="34" spans="1:4" hidden="1" x14ac:dyDescent="0.45">
      <c r="A34" s="1">
        <v>46137</v>
      </c>
      <c r="B34" t="s">
        <v>4</v>
      </c>
      <c r="C34" t="s">
        <v>7</v>
      </c>
      <c r="D34">
        <v>120</v>
      </c>
    </row>
    <row r="35" spans="1:4" x14ac:dyDescent="0.45">
      <c r="A35" s="1">
        <v>46137</v>
      </c>
      <c r="B35" t="s">
        <v>4</v>
      </c>
      <c r="C35" t="s">
        <v>8</v>
      </c>
      <c r="D35">
        <v>150</v>
      </c>
    </row>
    <row r="36" spans="1:4" hidden="1" x14ac:dyDescent="0.45">
      <c r="A36" s="1">
        <v>46137</v>
      </c>
      <c r="B36" t="s">
        <v>4</v>
      </c>
      <c r="C36" t="s">
        <v>9</v>
      </c>
      <c r="D36">
        <v>400</v>
      </c>
    </row>
    <row r="37" spans="1:4" hidden="1" x14ac:dyDescent="0.45">
      <c r="A37" s="1">
        <v>46137</v>
      </c>
      <c r="B37" t="s">
        <v>4</v>
      </c>
      <c r="C37" t="s">
        <v>10</v>
      </c>
      <c r="D37">
        <v>1000</v>
      </c>
    </row>
    <row r="38" spans="1:4" x14ac:dyDescent="0.45">
      <c r="A38" s="1">
        <v>46138</v>
      </c>
      <c r="B38" t="s">
        <v>4</v>
      </c>
      <c r="C38" t="s">
        <v>5</v>
      </c>
      <c r="D38">
        <v>130</v>
      </c>
    </row>
    <row r="39" spans="1:4" hidden="1" x14ac:dyDescent="0.45">
      <c r="A39" s="1">
        <v>46138</v>
      </c>
      <c r="B39" t="s">
        <v>4</v>
      </c>
      <c r="C39" t="s">
        <v>7</v>
      </c>
      <c r="D39">
        <v>120</v>
      </c>
    </row>
    <row r="40" spans="1:4" x14ac:dyDescent="0.45">
      <c r="A40" s="1">
        <v>46138</v>
      </c>
      <c r="B40" t="s">
        <v>4</v>
      </c>
      <c r="C40" t="s">
        <v>8</v>
      </c>
      <c r="D40">
        <v>0</v>
      </c>
    </row>
    <row r="41" spans="1:4" hidden="1" x14ac:dyDescent="0.45">
      <c r="A41" s="1">
        <v>46138</v>
      </c>
      <c r="B41" t="s">
        <v>4</v>
      </c>
      <c r="C41" t="s">
        <v>9</v>
      </c>
      <c r="D41">
        <v>400</v>
      </c>
    </row>
    <row r="42" spans="1:4" hidden="1" x14ac:dyDescent="0.45">
      <c r="A42" s="1">
        <v>46138</v>
      </c>
      <c r="B42" t="s">
        <v>4</v>
      </c>
      <c r="C42" t="s">
        <v>10</v>
      </c>
      <c r="D42">
        <v>1000</v>
      </c>
    </row>
    <row r="43" spans="1:4" x14ac:dyDescent="0.45">
      <c r="A43" s="1">
        <v>46167</v>
      </c>
      <c r="B43" t="s">
        <v>4</v>
      </c>
      <c r="C43" t="s">
        <v>5</v>
      </c>
      <c r="D43">
        <v>50</v>
      </c>
    </row>
    <row r="44" spans="1:4" hidden="1" x14ac:dyDescent="0.45">
      <c r="A44" s="1">
        <v>46167</v>
      </c>
      <c r="B44" t="s">
        <v>4</v>
      </c>
      <c r="C44" t="s">
        <v>7</v>
      </c>
      <c r="D44">
        <v>120</v>
      </c>
    </row>
    <row r="45" spans="1:4" x14ac:dyDescent="0.45">
      <c r="A45" s="1">
        <v>46167</v>
      </c>
      <c r="B45" t="s">
        <v>4</v>
      </c>
      <c r="C45" t="s">
        <v>8</v>
      </c>
      <c r="D45">
        <v>150</v>
      </c>
    </row>
    <row r="46" spans="1:4" hidden="1" x14ac:dyDescent="0.45">
      <c r="A46" s="1">
        <v>46167</v>
      </c>
      <c r="B46" t="s">
        <v>4</v>
      </c>
      <c r="C46" t="s">
        <v>9</v>
      </c>
      <c r="D46">
        <v>400</v>
      </c>
    </row>
    <row r="47" spans="1:4" hidden="1" x14ac:dyDescent="0.45">
      <c r="A47" s="1">
        <v>46167</v>
      </c>
      <c r="B47" t="s">
        <v>4</v>
      </c>
      <c r="C47" t="s">
        <v>10</v>
      </c>
      <c r="D47">
        <v>1000</v>
      </c>
    </row>
    <row r="48" spans="1:4" x14ac:dyDescent="0.45">
      <c r="A48" s="1">
        <v>46168</v>
      </c>
      <c r="B48" t="s">
        <v>4</v>
      </c>
      <c r="C48" t="s">
        <v>5</v>
      </c>
      <c r="D48">
        <v>100</v>
      </c>
    </row>
    <row r="49" spans="1:4" hidden="1" x14ac:dyDescent="0.45">
      <c r="A49" s="1">
        <v>46168</v>
      </c>
      <c r="B49" t="s">
        <v>4</v>
      </c>
      <c r="C49" t="s">
        <v>7</v>
      </c>
      <c r="D49">
        <v>120</v>
      </c>
    </row>
    <row r="50" spans="1:4" x14ac:dyDescent="0.45">
      <c r="A50" s="1">
        <v>46168</v>
      </c>
      <c r="B50" t="s">
        <v>4</v>
      </c>
      <c r="C50" t="s">
        <v>8</v>
      </c>
      <c r="D50">
        <v>0</v>
      </c>
    </row>
    <row r="51" spans="1:4" hidden="1" x14ac:dyDescent="0.45">
      <c r="A51" s="1">
        <v>46168</v>
      </c>
      <c r="B51" t="s">
        <v>4</v>
      </c>
      <c r="C51" t="s">
        <v>9</v>
      </c>
      <c r="D51">
        <v>400</v>
      </c>
    </row>
    <row r="52" spans="1:4" hidden="1" x14ac:dyDescent="0.45">
      <c r="A52" s="1">
        <v>46168</v>
      </c>
      <c r="B52" t="s">
        <v>4</v>
      </c>
      <c r="C52" t="s">
        <v>10</v>
      </c>
      <c r="D52">
        <v>1000</v>
      </c>
    </row>
    <row r="53" spans="1:4" x14ac:dyDescent="0.45">
      <c r="A53" s="1">
        <v>46198</v>
      </c>
      <c r="B53" t="s">
        <v>4</v>
      </c>
      <c r="C53" t="s">
        <v>5</v>
      </c>
      <c r="D53">
        <v>60</v>
      </c>
    </row>
    <row r="54" spans="1:4" hidden="1" x14ac:dyDescent="0.45">
      <c r="A54" s="1">
        <v>46198</v>
      </c>
      <c r="B54" t="s">
        <v>4</v>
      </c>
      <c r="C54" t="s">
        <v>7</v>
      </c>
      <c r="D54">
        <v>120</v>
      </c>
    </row>
    <row r="55" spans="1:4" x14ac:dyDescent="0.45">
      <c r="A55" s="1">
        <v>46198</v>
      </c>
      <c r="B55" t="s">
        <v>4</v>
      </c>
      <c r="C55" t="s">
        <v>8</v>
      </c>
      <c r="D55">
        <v>200</v>
      </c>
    </row>
    <row r="56" spans="1:4" hidden="1" x14ac:dyDescent="0.45">
      <c r="A56" s="1">
        <v>46198</v>
      </c>
      <c r="B56" t="s">
        <v>4</v>
      </c>
      <c r="C56" t="s">
        <v>9</v>
      </c>
      <c r="D56">
        <v>400</v>
      </c>
    </row>
    <row r="57" spans="1:4" hidden="1" x14ac:dyDescent="0.45">
      <c r="A57" s="1">
        <v>46198</v>
      </c>
      <c r="B57" t="s">
        <v>4</v>
      </c>
      <c r="C57" t="s">
        <v>10</v>
      </c>
      <c r="D57">
        <v>1000</v>
      </c>
    </row>
    <row r="58" spans="1:4" x14ac:dyDescent="0.45">
      <c r="A58" s="1">
        <v>46199</v>
      </c>
      <c r="B58" t="s">
        <v>4</v>
      </c>
      <c r="C58" t="s">
        <v>5</v>
      </c>
      <c r="D58">
        <v>80</v>
      </c>
    </row>
    <row r="59" spans="1:4" hidden="1" x14ac:dyDescent="0.45">
      <c r="A59" s="1">
        <v>46199</v>
      </c>
      <c r="B59" t="s">
        <v>4</v>
      </c>
      <c r="C59" t="s">
        <v>7</v>
      </c>
      <c r="D59">
        <v>120</v>
      </c>
    </row>
    <row r="60" spans="1:4" x14ac:dyDescent="0.45">
      <c r="A60" s="1">
        <v>46199</v>
      </c>
      <c r="B60" t="s">
        <v>4</v>
      </c>
      <c r="C60" t="s">
        <v>8</v>
      </c>
      <c r="D60">
        <v>0</v>
      </c>
    </row>
    <row r="61" spans="1:4" hidden="1" x14ac:dyDescent="0.45">
      <c r="A61" s="1">
        <v>46199</v>
      </c>
      <c r="B61" t="s">
        <v>4</v>
      </c>
      <c r="C61" t="s">
        <v>9</v>
      </c>
      <c r="D61">
        <v>400</v>
      </c>
    </row>
    <row r="62" spans="1:4" hidden="1" x14ac:dyDescent="0.45">
      <c r="A62" s="1">
        <v>46199</v>
      </c>
      <c r="B62" t="s">
        <v>4</v>
      </c>
      <c r="C62" t="s">
        <v>10</v>
      </c>
      <c r="D62">
        <v>1000</v>
      </c>
    </row>
    <row r="63" spans="1:4" x14ac:dyDescent="0.45">
      <c r="A63" s="1">
        <v>46228</v>
      </c>
      <c r="B63" t="s">
        <v>4</v>
      </c>
      <c r="C63" t="s">
        <v>5</v>
      </c>
      <c r="D63">
        <v>90</v>
      </c>
    </row>
    <row r="64" spans="1:4" hidden="1" x14ac:dyDescent="0.45">
      <c r="A64" s="1">
        <v>46228</v>
      </c>
      <c r="B64" t="s">
        <v>4</v>
      </c>
      <c r="C64" t="s">
        <v>7</v>
      </c>
      <c r="D64">
        <v>120</v>
      </c>
    </row>
    <row r="65" spans="1:4" x14ac:dyDescent="0.45">
      <c r="A65" s="1">
        <v>46228</v>
      </c>
      <c r="B65" t="s">
        <v>4</v>
      </c>
      <c r="C65" t="s">
        <v>8</v>
      </c>
      <c r="D65">
        <v>250</v>
      </c>
    </row>
    <row r="66" spans="1:4" hidden="1" x14ac:dyDescent="0.45">
      <c r="A66" s="1">
        <v>46228</v>
      </c>
      <c r="B66" t="s">
        <v>4</v>
      </c>
      <c r="C66" t="s">
        <v>9</v>
      </c>
      <c r="D66">
        <v>400</v>
      </c>
    </row>
    <row r="67" spans="1:4" hidden="1" x14ac:dyDescent="0.45">
      <c r="A67" s="1">
        <v>46228</v>
      </c>
      <c r="B67" t="s">
        <v>4</v>
      </c>
      <c r="C67" t="s">
        <v>10</v>
      </c>
      <c r="D67">
        <v>1000</v>
      </c>
    </row>
    <row r="68" spans="1:4" x14ac:dyDescent="0.45">
      <c r="A68" s="1">
        <v>46259</v>
      </c>
      <c r="B68" t="s">
        <v>4</v>
      </c>
      <c r="C68" t="s">
        <v>5</v>
      </c>
      <c r="D68">
        <v>130</v>
      </c>
    </row>
    <row r="69" spans="1:4" hidden="1" x14ac:dyDescent="0.45">
      <c r="A69" s="1">
        <v>46259</v>
      </c>
      <c r="B69" t="s">
        <v>4</v>
      </c>
      <c r="C69" t="s">
        <v>7</v>
      </c>
      <c r="D69">
        <v>120</v>
      </c>
    </row>
    <row r="70" spans="1:4" x14ac:dyDescent="0.45">
      <c r="A70" s="1">
        <v>46259</v>
      </c>
      <c r="B70" t="s">
        <v>4</v>
      </c>
      <c r="C70" t="s">
        <v>8</v>
      </c>
      <c r="D70">
        <v>250</v>
      </c>
    </row>
    <row r="71" spans="1:4" hidden="1" x14ac:dyDescent="0.45">
      <c r="A71" s="1">
        <v>46259</v>
      </c>
      <c r="B71" t="s">
        <v>4</v>
      </c>
      <c r="C71" t="s">
        <v>9</v>
      </c>
      <c r="D71">
        <v>400</v>
      </c>
    </row>
    <row r="72" spans="1:4" hidden="1" x14ac:dyDescent="0.45">
      <c r="A72" s="1">
        <v>46259</v>
      </c>
      <c r="B72" t="s">
        <v>4</v>
      </c>
      <c r="C72" t="s">
        <v>10</v>
      </c>
      <c r="D72">
        <v>1000</v>
      </c>
    </row>
    <row r="73" spans="1:4" x14ac:dyDescent="0.45">
      <c r="A73" s="1">
        <v>46290</v>
      </c>
      <c r="B73" t="s">
        <v>4</v>
      </c>
      <c r="C73" t="s">
        <v>5</v>
      </c>
      <c r="D73">
        <v>190</v>
      </c>
    </row>
    <row r="74" spans="1:4" hidden="1" x14ac:dyDescent="0.45">
      <c r="A74" s="1">
        <v>46290</v>
      </c>
      <c r="B74" t="s">
        <v>4</v>
      </c>
      <c r="C74" t="s">
        <v>7</v>
      </c>
      <c r="D74">
        <v>120</v>
      </c>
    </row>
    <row r="75" spans="1:4" x14ac:dyDescent="0.45">
      <c r="A75" s="1">
        <v>46290</v>
      </c>
      <c r="B75" t="s">
        <v>4</v>
      </c>
      <c r="C75" t="s">
        <v>8</v>
      </c>
      <c r="D75">
        <v>250</v>
      </c>
    </row>
    <row r="76" spans="1:4" hidden="1" x14ac:dyDescent="0.45">
      <c r="A76" s="1">
        <v>46290</v>
      </c>
      <c r="B76" t="s">
        <v>4</v>
      </c>
      <c r="C76" t="s">
        <v>9</v>
      </c>
      <c r="D76">
        <v>400</v>
      </c>
    </row>
    <row r="77" spans="1:4" hidden="1" x14ac:dyDescent="0.45">
      <c r="A77" s="1">
        <v>46290</v>
      </c>
      <c r="B77" t="s">
        <v>4</v>
      </c>
      <c r="C77" t="s">
        <v>10</v>
      </c>
      <c r="D77">
        <v>1000</v>
      </c>
    </row>
    <row r="78" spans="1:4" x14ac:dyDescent="0.45">
      <c r="A78" s="1">
        <v>46320</v>
      </c>
      <c r="B78" t="s">
        <v>4</v>
      </c>
      <c r="C78" t="s">
        <v>5</v>
      </c>
      <c r="D78">
        <v>260</v>
      </c>
    </row>
    <row r="79" spans="1:4" hidden="1" x14ac:dyDescent="0.45">
      <c r="A79" s="1">
        <v>46320</v>
      </c>
      <c r="B79" t="s">
        <v>4</v>
      </c>
      <c r="C79" t="s">
        <v>7</v>
      </c>
      <c r="D79">
        <v>120</v>
      </c>
    </row>
    <row r="80" spans="1:4" x14ac:dyDescent="0.45">
      <c r="A80" s="1">
        <v>46320</v>
      </c>
      <c r="B80" t="s">
        <v>4</v>
      </c>
      <c r="C80" t="s">
        <v>8</v>
      </c>
      <c r="D80">
        <v>250</v>
      </c>
    </row>
    <row r="81" spans="1:4" hidden="1" x14ac:dyDescent="0.45">
      <c r="A81" s="1">
        <v>46320</v>
      </c>
      <c r="B81" t="s">
        <v>4</v>
      </c>
      <c r="C81" t="s">
        <v>9</v>
      </c>
      <c r="D81">
        <v>400</v>
      </c>
    </row>
    <row r="82" spans="1:4" hidden="1" x14ac:dyDescent="0.45">
      <c r="A82" s="1">
        <v>46320</v>
      </c>
      <c r="B82" t="s">
        <v>4</v>
      </c>
      <c r="C82" t="s">
        <v>10</v>
      </c>
      <c r="D82">
        <v>1000</v>
      </c>
    </row>
    <row r="83" spans="1:4" x14ac:dyDescent="0.45">
      <c r="A83" s="1">
        <v>46351</v>
      </c>
      <c r="B83" t="s">
        <v>4</v>
      </c>
      <c r="C83" t="s">
        <v>5</v>
      </c>
      <c r="D83">
        <v>320</v>
      </c>
    </row>
    <row r="84" spans="1:4" hidden="1" x14ac:dyDescent="0.45">
      <c r="A84" s="1">
        <v>46351</v>
      </c>
      <c r="B84" t="s">
        <v>4</v>
      </c>
      <c r="C84" t="s">
        <v>7</v>
      </c>
      <c r="D84">
        <v>120</v>
      </c>
    </row>
    <row r="85" spans="1:4" x14ac:dyDescent="0.45">
      <c r="A85" s="1">
        <v>46351</v>
      </c>
      <c r="B85" t="s">
        <v>4</v>
      </c>
      <c r="C85" t="s">
        <v>8</v>
      </c>
      <c r="D85">
        <v>230</v>
      </c>
    </row>
    <row r="86" spans="1:4" hidden="1" x14ac:dyDescent="0.45">
      <c r="A86" s="1">
        <v>46351</v>
      </c>
      <c r="B86" t="s">
        <v>4</v>
      </c>
      <c r="C86" t="s">
        <v>9</v>
      </c>
      <c r="D86">
        <v>400</v>
      </c>
    </row>
    <row r="87" spans="1:4" hidden="1" x14ac:dyDescent="0.45">
      <c r="A87" s="1">
        <v>46351</v>
      </c>
      <c r="B87" t="s">
        <v>4</v>
      </c>
      <c r="C87" t="s">
        <v>10</v>
      </c>
      <c r="D87">
        <v>1000</v>
      </c>
    </row>
    <row r="88" spans="1:4" x14ac:dyDescent="0.45">
      <c r="A88" s="1">
        <v>46381</v>
      </c>
      <c r="B88" t="s">
        <v>4</v>
      </c>
      <c r="C88" t="s">
        <v>5</v>
      </c>
      <c r="D88">
        <v>300</v>
      </c>
    </row>
    <row r="89" spans="1:4" hidden="1" x14ac:dyDescent="0.45">
      <c r="A89" s="1">
        <v>46381</v>
      </c>
      <c r="B89" t="s">
        <v>4</v>
      </c>
      <c r="C89" t="s">
        <v>7</v>
      </c>
      <c r="D89">
        <v>120</v>
      </c>
    </row>
    <row r="90" spans="1:4" x14ac:dyDescent="0.45">
      <c r="A90" s="1">
        <v>46381</v>
      </c>
      <c r="B90" t="s">
        <v>4</v>
      </c>
      <c r="C90" t="s">
        <v>8</v>
      </c>
      <c r="D90">
        <v>230</v>
      </c>
    </row>
    <row r="91" spans="1:4" hidden="1" x14ac:dyDescent="0.45">
      <c r="A91" s="1">
        <v>46381</v>
      </c>
      <c r="B91" t="s">
        <v>4</v>
      </c>
      <c r="C91" t="s">
        <v>9</v>
      </c>
      <c r="D91">
        <v>400</v>
      </c>
    </row>
    <row r="92" spans="1:4" hidden="1" x14ac:dyDescent="0.45">
      <c r="A92" s="1">
        <v>46381</v>
      </c>
      <c r="B92" t="s">
        <v>4</v>
      </c>
      <c r="C92" t="s">
        <v>10</v>
      </c>
      <c r="D92">
        <v>1000</v>
      </c>
    </row>
    <row r="93" spans="1:4" hidden="1" x14ac:dyDescent="0.45"/>
  </sheetData>
  <autoFilter ref="A1:D93" xr:uid="{312AFA8B-CE34-4A39-AF74-5F2E9131CAE1}">
    <filterColumn colId="2">
      <filters>
        <filter val="demand"/>
        <filter val="initial_inventory"/>
        <filter val="production"/>
      </filters>
    </filterColumn>
  </autoFilter>
  <sortState xmlns:xlrd2="http://schemas.microsoft.com/office/spreadsheetml/2017/richdata2" ref="A2:D92">
    <sortCondition ref="A1:A92"/>
  </sortState>
  <phoneticPr fontId="18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58330-D51E-4BDE-95FC-7F65685F5E77}">
  <sheetPr filterMode="1"/>
  <dimension ref="A1:D55"/>
  <sheetViews>
    <sheetView workbookViewId="0">
      <selection activeCell="C57" sqref="C57"/>
    </sheetView>
  </sheetViews>
  <sheetFormatPr defaultRowHeight="18" x14ac:dyDescent="0.45"/>
  <cols>
    <col min="1" max="1" width="11.09765625" bestFit="1" customWidth="1"/>
    <col min="3" max="3" width="13.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hidden="1" x14ac:dyDescent="0.45">
      <c r="A2" s="2">
        <v>46047</v>
      </c>
      <c r="B2" t="s">
        <v>4</v>
      </c>
      <c r="C2" t="s">
        <v>7</v>
      </c>
      <c r="D2">
        <v>120</v>
      </c>
    </row>
    <row r="3" spans="1:4" x14ac:dyDescent="0.45">
      <c r="A3" s="2">
        <v>46047</v>
      </c>
      <c r="B3" t="s">
        <v>4</v>
      </c>
      <c r="C3" t="s">
        <v>9</v>
      </c>
      <c r="D3">
        <v>400</v>
      </c>
    </row>
    <row r="4" spans="1:4" hidden="1" x14ac:dyDescent="0.45">
      <c r="A4" s="2">
        <v>46047</v>
      </c>
      <c r="B4" t="s">
        <v>4</v>
      </c>
      <c r="C4" t="s">
        <v>10</v>
      </c>
      <c r="D4">
        <v>1000</v>
      </c>
    </row>
    <row r="5" spans="1:4" hidden="1" x14ac:dyDescent="0.45">
      <c r="A5" s="2">
        <v>46048</v>
      </c>
      <c r="B5" t="s">
        <v>4</v>
      </c>
      <c r="C5" t="s">
        <v>7</v>
      </c>
      <c r="D5">
        <v>120</v>
      </c>
    </row>
    <row r="6" spans="1:4" x14ac:dyDescent="0.45">
      <c r="A6" s="2">
        <v>46048</v>
      </c>
      <c r="B6" t="s">
        <v>4</v>
      </c>
      <c r="C6" t="s">
        <v>9</v>
      </c>
      <c r="D6">
        <v>400</v>
      </c>
    </row>
    <row r="7" spans="1:4" hidden="1" x14ac:dyDescent="0.45">
      <c r="A7" s="2">
        <v>46048</v>
      </c>
      <c r="B7" t="s">
        <v>4</v>
      </c>
      <c r="C7" t="s">
        <v>10</v>
      </c>
      <c r="D7">
        <v>1000</v>
      </c>
    </row>
    <row r="8" spans="1:4" hidden="1" x14ac:dyDescent="0.45">
      <c r="A8" s="2">
        <v>46078</v>
      </c>
      <c r="B8" t="s">
        <v>4</v>
      </c>
      <c r="C8" t="s">
        <v>7</v>
      </c>
      <c r="D8">
        <v>120</v>
      </c>
    </row>
    <row r="9" spans="1:4" x14ac:dyDescent="0.45">
      <c r="A9" s="2">
        <v>46078</v>
      </c>
      <c r="B9" t="s">
        <v>4</v>
      </c>
      <c r="C9" t="s">
        <v>9</v>
      </c>
      <c r="D9">
        <v>400</v>
      </c>
    </row>
    <row r="10" spans="1:4" hidden="1" x14ac:dyDescent="0.45">
      <c r="A10" s="2">
        <v>46078</v>
      </c>
      <c r="B10" t="s">
        <v>4</v>
      </c>
      <c r="C10" t="s">
        <v>10</v>
      </c>
      <c r="D10">
        <v>1000</v>
      </c>
    </row>
    <row r="11" spans="1:4" hidden="1" x14ac:dyDescent="0.45">
      <c r="A11" s="2">
        <v>46079</v>
      </c>
      <c r="B11" t="s">
        <v>4</v>
      </c>
      <c r="C11" t="s">
        <v>7</v>
      </c>
      <c r="D11">
        <v>120</v>
      </c>
    </row>
    <row r="12" spans="1:4" x14ac:dyDescent="0.45">
      <c r="A12" s="2">
        <v>46079</v>
      </c>
      <c r="B12" t="s">
        <v>4</v>
      </c>
      <c r="C12" t="s">
        <v>9</v>
      </c>
      <c r="D12">
        <v>400</v>
      </c>
    </row>
    <row r="13" spans="1:4" hidden="1" x14ac:dyDescent="0.45">
      <c r="A13" s="2">
        <v>46079</v>
      </c>
      <c r="B13" t="s">
        <v>4</v>
      </c>
      <c r="C13" t="s">
        <v>10</v>
      </c>
      <c r="D13">
        <v>1000</v>
      </c>
    </row>
    <row r="14" spans="1:4" hidden="1" x14ac:dyDescent="0.45">
      <c r="A14" s="2">
        <v>46106</v>
      </c>
      <c r="B14" t="s">
        <v>4</v>
      </c>
      <c r="C14" t="s">
        <v>7</v>
      </c>
      <c r="D14">
        <v>120</v>
      </c>
    </row>
    <row r="15" spans="1:4" x14ac:dyDescent="0.45">
      <c r="A15" s="2">
        <v>46106</v>
      </c>
      <c r="B15" t="s">
        <v>4</v>
      </c>
      <c r="C15" t="s">
        <v>9</v>
      </c>
      <c r="D15">
        <v>400</v>
      </c>
    </row>
    <row r="16" spans="1:4" hidden="1" x14ac:dyDescent="0.45">
      <c r="A16" s="2">
        <v>46106</v>
      </c>
      <c r="B16" t="s">
        <v>4</v>
      </c>
      <c r="C16" t="s">
        <v>10</v>
      </c>
      <c r="D16">
        <v>1000</v>
      </c>
    </row>
    <row r="17" spans="1:4" hidden="1" x14ac:dyDescent="0.45">
      <c r="A17" s="2">
        <v>46107</v>
      </c>
      <c r="B17" t="s">
        <v>4</v>
      </c>
      <c r="C17" t="s">
        <v>7</v>
      </c>
      <c r="D17">
        <v>120</v>
      </c>
    </row>
    <row r="18" spans="1:4" x14ac:dyDescent="0.45">
      <c r="A18" s="2">
        <v>46107</v>
      </c>
      <c r="B18" t="s">
        <v>4</v>
      </c>
      <c r="C18" t="s">
        <v>9</v>
      </c>
      <c r="D18">
        <v>400</v>
      </c>
    </row>
    <row r="19" spans="1:4" hidden="1" x14ac:dyDescent="0.45">
      <c r="A19" s="2">
        <v>46107</v>
      </c>
      <c r="B19" t="s">
        <v>4</v>
      </c>
      <c r="C19" t="s">
        <v>10</v>
      </c>
      <c r="D19">
        <v>1000</v>
      </c>
    </row>
    <row r="20" spans="1:4" hidden="1" x14ac:dyDescent="0.45">
      <c r="A20" s="2">
        <v>46137</v>
      </c>
      <c r="B20" t="s">
        <v>4</v>
      </c>
      <c r="C20" t="s">
        <v>7</v>
      </c>
      <c r="D20">
        <v>120</v>
      </c>
    </row>
    <row r="21" spans="1:4" x14ac:dyDescent="0.45">
      <c r="A21" s="2">
        <v>46137</v>
      </c>
      <c r="B21" t="s">
        <v>4</v>
      </c>
      <c r="C21" t="s">
        <v>9</v>
      </c>
      <c r="D21">
        <v>400</v>
      </c>
    </row>
    <row r="22" spans="1:4" hidden="1" x14ac:dyDescent="0.45">
      <c r="A22" s="2">
        <v>46137</v>
      </c>
      <c r="B22" t="s">
        <v>4</v>
      </c>
      <c r="C22" t="s">
        <v>10</v>
      </c>
      <c r="D22">
        <v>1000</v>
      </c>
    </row>
    <row r="23" spans="1:4" hidden="1" x14ac:dyDescent="0.45">
      <c r="A23" s="2">
        <v>46138</v>
      </c>
      <c r="B23" t="s">
        <v>4</v>
      </c>
      <c r="C23" t="s">
        <v>7</v>
      </c>
      <c r="D23">
        <v>120</v>
      </c>
    </row>
    <row r="24" spans="1:4" x14ac:dyDescent="0.45">
      <c r="A24" s="2">
        <v>46138</v>
      </c>
      <c r="B24" t="s">
        <v>4</v>
      </c>
      <c r="C24" t="s">
        <v>9</v>
      </c>
      <c r="D24">
        <v>400</v>
      </c>
    </row>
    <row r="25" spans="1:4" hidden="1" x14ac:dyDescent="0.45">
      <c r="A25" s="2">
        <v>46138</v>
      </c>
      <c r="B25" t="s">
        <v>4</v>
      </c>
      <c r="C25" t="s">
        <v>10</v>
      </c>
      <c r="D25">
        <v>1000</v>
      </c>
    </row>
    <row r="26" spans="1:4" hidden="1" x14ac:dyDescent="0.45">
      <c r="A26" s="2">
        <v>46167</v>
      </c>
      <c r="B26" t="s">
        <v>4</v>
      </c>
      <c r="C26" t="s">
        <v>7</v>
      </c>
      <c r="D26">
        <v>120</v>
      </c>
    </row>
    <row r="27" spans="1:4" x14ac:dyDescent="0.45">
      <c r="A27" s="2">
        <v>46167</v>
      </c>
      <c r="B27" t="s">
        <v>4</v>
      </c>
      <c r="C27" t="s">
        <v>9</v>
      </c>
      <c r="D27">
        <v>400</v>
      </c>
    </row>
    <row r="28" spans="1:4" hidden="1" x14ac:dyDescent="0.45">
      <c r="A28" s="2">
        <v>46167</v>
      </c>
      <c r="B28" t="s">
        <v>4</v>
      </c>
      <c r="C28" t="s">
        <v>10</v>
      </c>
      <c r="D28">
        <v>1000</v>
      </c>
    </row>
    <row r="29" spans="1:4" hidden="1" x14ac:dyDescent="0.45">
      <c r="A29" s="2">
        <v>46168</v>
      </c>
      <c r="B29" t="s">
        <v>4</v>
      </c>
      <c r="C29" t="s">
        <v>7</v>
      </c>
      <c r="D29">
        <v>120</v>
      </c>
    </row>
    <row r="30" spans="1:4" x14ac:dyDescent="0.45">
      <c r="A30" s="2">
        <v>46168</v>
      </c>
      <c r="B30" t="s">
        <v>4</v>
      </c>
      <c r="C30" t="s">
        <v>9</v>
      </c>
      <c r="D30">
        <v>400</v>
      </c>
    </row>
    <row r="31" spans="1:4" hidden="1" x14ac:dyDescent="0.45">
      <c r="A31" s="2">
        <v>46168</v>
      </c>
      <c r="B31" t="s">
        <v>4</v>
      </c>
      <c r="C31" t="s">
        <v>10</v>
      </c>
      <c r="D31">
        <v>1000</v>
      </c>
    </row>
    <row r="32" spans="1:4" hidden="1" x14ac:dyDescent="0.45">
      <c r="A32" s="2">
        <v>46198</v>
      </c>
      <c r="B32" t="s">
        <v>4</v>
      </c>
      <c r="C32" t="s">
        <v>7</v>
      </c>
      <c r="D32">
        <v>120</v>
      </c>
    </row>
    <row r="33" spans="1:4" x14ac:dyDescent="0.45">
      <c r="A33" s="2">
        <v>46198</v>
      </c>
      <c r="B33" t="s">
        <v>4</v>
      </c>
      <c r="C33" t="s">
        <v>9</v>
      </c>
      <c r="D33">
        <v>400</v>
      </c>
    </row>
    <row r="34" spans="1:4" hidden="1" x14ac:dyDescent="0.45">
      <c r="A34" s="2">
        <v>46198</v>
      </c>
      <c r="B34" t="s">
        <v>4</v>
      </c>
      <c r="C34" t="s">
        <v>10</v>
      </c>
      <c r="D34">
        <v>1000</v>
      </c>
    </row>
    <row r="35" spans="1:4" hidden="1" x14ac:dyDescent="0.45">
      <c r="A35" s="2">
        <v>46199</v>
      </c>
      <c r="B35" t="s">
        <v>4</v>
      </c>
      <c r="C35" t="s">
        <v>7</v>
      </c>
      <c r="D35">
        <v>120</v>
      </c>
    </row>
    <row r="36" spans="1:4" x14ac:dyDescent="0.45">
      <c r="A36" s="2">
        <v>46199</v>
      </c>
      <c r="B36" t="s">
        <v>4</v>
      </c>
      <c r="C36" t="s">
        <v>9</v>
      </c>
      <c r="D36">
        <v>400</v>
      </c>
    </row>
    <row r="37" spans="1:4" hidden="1" x14ac:dyDescent="0.45">
      <c r="A37" s="2">
        <v>46199</v>
      </c>
      <c r="B37" t="s">
        <v>4</v>
      </c>
      <c r="C37" t="s">
        <v>10</v>
      </c>
      <c r="D37">
        <v>1000</v>
      </c>
    </row>
    <row r="38" spans="1:4" hidden="1" x14ac:dyDescent="0.45">
      <c r="A38" s="2">
        <v>46228</v>
      </c>
      <c r="B38" t="s">
        <v>4</v>
      </c>
      <c r="C38" t="s">
        <v>7</v>
      </c>
      <c r="D38">
        <v>120</v>
      </c>
    </row>
    <row r="39" spans="1:4" x14ac:dyDescent="0.45">
      <c r="A39" s="2">
        <v>46228</v>
      </c>
      <c r="B39" t="s">
        <v>4</v>
      </c>
      <c r="C39" t="s">
        <v>9</v>
      </c>
      <c r="D39">
        <v>400</v>
      </c>
    </row>
    <row r="40" spans="1:4" hidden="1" x14ac:dyDescent="0.45">
      <c r="A40" s="2">
        <v>46228</v>
      </c>
      <c r="B40" t="s">
        <v>4</v>
      </c>
      <c r="C40" t="s">
        <v>10</v>
      </c>
      <c r="D40">
        <v>1000</v>
      </c>
    </row>
    <row r="41" spans="1:4" hidden="1" x14ac:dyDescent="0.45">
      <c r="A41" s="2">
        <v>46259</v>
      </c>
      <c r="B41" t="s">
        <v>4</v>
      </c>
      <c r="C41" t="s">
        <v>7</v>
      </c>
      <c r="D41">
        <v>120</v>
      </c>
    </row>
    <row r="42" spans="1:4" x14ac:dyDescent="0.45">
      <c r="A42" s="2">
        <v>46259</v>
      </c>
      <c r="B42" t="s">
        <v>4</v>
      </c>
      <c r="C42" t="s">
        <v>9</v>
      </c>
      <c r="D42">
        <v>400</v>
      </c>
    </row>
    <row r="43" spans="1:4" hidden="1" x14ac:dyDescent="0.45">
      <c r="A43" s="2">
        <v>46259</v>
      </c>
      <c r="B43" t="s">
        <v>4</v>
      </c>
      <c r="C43" t="s">
        <v>10</v>
      </c>
      <c r="D43">
        <v>1000</v>
      </c>
    </row>
    <row r="44" spans="1:4" hidden="1" x14ac:dyDescent="0.45">
      <c r="A44" s="2">
        <v>46290</v>
      </c>
      <c r="B44" t="s">
        <v>4</v>
      </c>
      <c r="C44" t="s">
        <v>7</v>
      </c>
      <c r="D44">
        <v>120</v>
      </c>
    </row>
    <row r="45" spans="1:4" x14ac:dyDescent="0.45">
      <c r="A45" s="2">
        <v>46290</v>
      </c>
      <c r="B45" t="s">
        <v>4</v>
      </c>
      <c r="C45" t="s">
        <v>9</v>
      </c>
      <c r="D45">
        <v>400</v>
      </c>
    </row>
    <row r="46" spans="1:4" hidden="1" x14ac:dyDescent="0.45">
      <c r="A46" s="2">
        <v>46290</v>
      </c>
      <c r="B46" t="s">
        <v>4</v>
      </c>
      <c r="C46" t="s">
        <v>10</v>
      </c>
      <c r="D46">
        <v>1000</v>
      </c>
    </row>
    <row r="47" spans="1:4" hidden="1" x14ac:dyDescent="0.45">
      <c r="A47" s="2">
        <v>46320</v>
      </c>
      <c r="B47" t="s">
        <v>4</v>
      </c>
      <c r="C47" t="s">
        <v>7</v>
      </c>
      <c r="D47">
        <v>120</v>
      </c>
    </row>
    <row r="48" spans="1:4" x14ac:dyDescent="0.45">
      <c r="A48" s="2">
        <v>46320</v>
      </c>
      <c r="B48" t="s">
        <v>4</v>
      </c>
      <c r="C48" t="s">
        <v>9</v>
      </c>
      <c r="D48">
        <v>400</v>
      </c>
    </row>
    <row r="49" spans="1:4" hidden="1" x14ac:dyDescent="0.45">
      <c r="A49" s="2">
        <v>46320</v>
      </c>
      <c r="B49" t="s">
        <v>4</v>
      </c>
      <c r="C49" t="s">
        <v>10</v>
      </c>
      <c r="D49">
        <v>1000</v>
      </c>
    </row>
    <row r="50" spans="1:4" hidden="1" x14ac:dyDescent="0.45">
      <c r="A50" s="2">
        <v>46351</v>
      </c>
      <c r="B50" t="s">
        <v>4</v>
      </c>
      <c r="C50" t="s">
        <v>7</v>
      </c>
      <c r="D50">
        <v>120</v>
      </c>
    </row>
    <row r="51" spans="1:4" x14ac:dyDescent="0.45">
      <c r="A51" s="2">
        <v>46351</v>
      </c>
      <c r="B51" t="s">
        <v>4</v>
      </c>
      <c r="C51" t="s">
        <v>9</v>
      </c>
      <c r="D51">
        <v>400</v>
      </c>
    </row>
    <row r="52" spans="1:4" hidden="1" x14ac:dyDescent="0.45">
      <c r="A52" s="2">
        <v>46351</v>
      </c>
      <c r="B52" t="s">
        <v>4</v>
      </c>
      <c r="C52" t="s">
        <v>10</v>
      </c>
      <c r="D52">
        <v>1000</v>
      </c>
    </row>
    <row r="53" spans="1:4" hidden="1" x14ac:dyDescent="0.45">
      <c r="A53" s="2">
        <v>46381</v>
      </c>
      <c r="B53" t="s">
        <v>4</v>
      </c>
      <c r="C53" t="s">
        <v>7</v>
      </c>
      <c r="D53">
        <v>120</v>
      </c>
    </row>
    <row r="54" spans="1:4" x14ac:dyDescent="0.45">
      <c r="A54" s="2">
        <v>46381</v>
      </c>
      <c r="B54" t="s">
        <v>4</v>
      </c>
      <c r="C54" t="s">
        <v>9</v>
      </c>
      <c r="D54">
        <v>400</v>
      </c>
    </row>
    <row r="55" spans="1:4" hidden="1" x14ac:dyDescent="0.45">
      <c r="A55" s="2">
        <v>46381</v>
      </c>
      <c r="B55" t="s">
        <v>4</v>
      </c>
      <c r="C55" t="s">
        <v>10</v>
      </c>
      <c r="D55">
        <v>1000</v>
      </c>
    </row>
  </sheetData>
  <autoFilter ref="A1:D55" xr:uid="{11658330-D51E-4BDE-95FC-7F65685F5E77}">
    <filterColumn colId="2">
      <filters>
        <filter val="purchase_cost"/>
      </filters>
    </filterColumn>
  </autoFilter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PSI_Image</vt:lpstr>
      <vt:lpstr>virtual_node_timeseries_Price</vt:lpstr>
      <vt:lpstr>virtual_node_timeseries_Pur_C</vt:lpstr>
      <vt:lpstr>virtual_node_timeseries_Pro_C</vt:lpstr>
      <vt:lpstr>virtual_node_timeseries_I</vt:lpstr>
      <vt:lpstr>virtual_node_timeseries_P</vt:lpstr>
      <vt:lpstr>virtual_node_timeseries_S</vt:lpstr>
      <vt:lpstr>virtual_node_timeseries_PSI</vt:lpstr>
      <vt:lpstr>virtual_node_timeseries_money_r</vt:lpstr>
      <vt:lpstr>virtual_node_timeseries_cost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大杉泰司</dc:creator>
  <cp:lastModifiedBy>泰司 大杉</cp:lastModifiedBy>
  <dcterms:created xsi:type="dcterms:W3CDTF">2026-01-31T02:14:45Z</dcterms:created>
  <dcterms:modified xsi:type="dcterms:W3CDTF">2026-01-31T11:54:23Z</dcterms:modified>
</cp:coreProperties>
</file>